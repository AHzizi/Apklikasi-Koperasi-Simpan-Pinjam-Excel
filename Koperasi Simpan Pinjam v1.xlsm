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Excel Apps\84 Aplikasi Excel Sekolah Desa dll\83. KoperasiSimpanPinjam password admin\"/>
    </mc:Choice>
  </mc:AlternateContent>
  <bookViews>
    <workbookView xWindow="120" yWindow="75" windowWidth="15180" windowHeight="5265" tabRatio="827"/>
  </bookViews>
  <sheets>
    <sheet name="Menu" sheetId="1" r:id="rId1"/>
    <sheet name="sub.Laporan" sheetId="22" state="veryHidden" r:id="rId2"/>
    <sheet name="sub.Transaksi" sheetId="29" state="veryHidden" r:id="rId3"/>
    <sheet name="data.Transaksi" sheetId="3" state="veryHidden" r:id="rId4"/>
    <sheet name="data.Anggota" sheetId="2" state="veryHidden" r:id="rId5"/>
    <sheet name="data.Pinjaman" sheetId="4" state="veryHidden" r:id="rId6"/>
    <sheet name="tabel.Angsuran" sheetId="6" state="veryHidden" r:id="rId7"/>
    <sheet name="Utilitas" sheetId="5" state="veryHidden" r:id="rId8"/>
    <sheet name="form.BuktiTransaksi" sheetId="11" state="veryHidden" r:id="rId9"/>
    <sheet name="cetak.BuktiTransaksi" sheetId="521" state="veryHidden" r:id="rId10"/>
    <sheet name="form.JsaPjm" sheetId="79" state="veryHidden" r:id="rId11"/>
    <sheet name="SHU Pinjaman" sheetId="656" state="veryHidden" r:id="rId12"/>
    <sheet name="form.AngsPjm" sheetId="156" state="veryHidden" r:id="rId13"/>
    <sheet name="form.Spn" sheetId="89" state="veryHidden" r:id="rId14"/>
    <sheet name="SHU Simpanan" sheetId="659" state="veryHidden" r:id="rId15"/>
    <sheet name="SHU Anggota" sheetId="662" state="veryHidden" r:id="rId16"/>
    <sheet name="form.Neraca" sheetId="603" state="veryHidden" r:id="rId17"/>
    <sheet name="form.surat" sheetId="140" state="veryHidden" r:id="rId18"/>
    <sheet name="SHU Total" sheetId="655" state="veryHidden" r:id="rId19"/>
    <sheet name="Neraca" sheetId="663" state="veryHidden" r:id="rId20"/>
    <sheet name="cetak.Laporan" sheetId="664" state="veryHidden" r:id="rId21"/>
  </sheets>
  <functionGroups builtInGroupCount="18"/>
  <definedNames>
    <definedName name="_xlnm._FilterDatabase" localSheetId="5" hidden="1">data.Pinjaman!$A$3:$L$10</definedName>
    <definedName name="_xlnm._FilterDatabase" localSheetId="3" hidden="1">data.Transaksi!$A$3:$P$26</definedName>
    <definedName name="_xlnm._FilterDatabase" localSheetId="6" hidden="1">tabel.Angsuran!$A$3:$N$14</definedName>
    <definedName name="_xlnm.Print_Area" localSheetId="9">cetak.BuktiTransaksi!#REF!</definedName>
    <definedName name="_xlnm.Print_Area" localSheetId="8">form.BuktiTransaksi!$A$1:$J$120</definedName>
    <definedName name="_xlnm.Print_Area" localSheetId="17">form.surat!$A$1:$K$34</definedName>
  </definedNames>
  <calcPr calcId="152511"/>
</workbook>
</file>

<file path=xl/calcChain.xml><?xml version="1.0" encoding="utf-8"?>
<calcChain xmlns="http://schemas.openxmlformats.org/spreadsheetml/2006/main">
  <c r="Q8" i="1" l="1"/>
  <c r="F22" i="664" l="1"/>
  <c r="F20" i="664"/>
  <c r="F14" i="664"/>
  <c r="G13" i="663" l="1"/>
  <c r="G14" i="663"/>
  <c r="F10" i="663"/>
  <c r="G9" i="663" s="1"/>
  <c r="G8" i="663"/>
  <c r="C17" i="663"/>
  <c r="S14" i="659"/>
  <c r="R14" i="659"/>
  <c r="Q14" i="659"/>
  <c r="P14" i="659"/>
  <c r="O14" i="659"/>
  <c r="N14" i="659"/>
  <c r="M14" i="659"/>
  <c r="L14" i="659"/>
  <c r="K14" i="659"/>
  <c r="J14" i="659"/>
  <c r="I14" i="659"/>
  <c r="H14" i="659"/>
  <c r="G14" i="659"/>
  <c r="F14" i="659"/>
  <c r="E14" i="659"/>
  <c r="T12" i="659"/>
  <c r="T11" i="659"/>
  <c r="T10" i="659"/>
  <c r="U10" i="659" s="1"/>
  <c r="T9" i="659"/>
  <c r="U9" i="659" s="1"/>
  <c r="T8" i="659"/>
  <c r="S14" i="656"/>
  <c r="R14" i="656"/>
  <c r="Q14" i="656"/>
  <c r="P14" i="656"/>
  <c r="O14" i="656"/>
  <c r="N14" i="656"/>
  <c r="M14" i="656"/>
  <c r="L14" i="656"/>
  <c r="K14" i="656"/>
  <c r="J14" i="656"/>
  <c r="I14" i="656"/>
  <c r="H14" i="656"/>
  <c r="T12" i="656"/>
  <c r="T11" i="656"/>
  <c r="T10" i="656"/>
  <c r="T9" i="656"/>
  <c r="T8" i="656"/>
  <c r="T7" i="656"/>
  <c r="T6" i="656"/>
  <c r="E13" i="655"/>
  <c r="G15" i="663" s="1"/>
  <c r="G9" i="603"/>
  <c r="G17" i="603" s="1"/>
  <c r="T14" i="656" l="1"/>
  <c r="E15" i="655"/>
  <c r="T14" i="659"/>
  <c r="G17" i="663"/>
  <c r="U12" i="659"/>
  <c r="U11" i="659"/>
  <c r="U8" i="659"/>
  <c r="E17" i="655" l="1"/>
  <c r="E18" i="655"/>
  <c r="U14" i="659"/>
  <c r="C17" i="603"/>
  <c r="AH12" i="656" l="1"/>
  <c r="AD12" i="656"/>
  <c r="Z12" i="656"/>
  <c r="AH11" i="656"/>
  <c r="AD11" i="656"/>
  <c r="Z11" i="656"/>
  <c r="AH10" i="656"/>
  <c r="AD10" i="656"/>
  <c r="Z10" i="656"/>
  <c r="AH9" i="656"/>
  <c r="AD9" i="656"/>
  <c r="Z9" i="656"/>
  <c r="AH8" i="656"/>
  <c r="AD8" i="656"/>
  <c r="Z8" i="656"/>
  <c r="AH7" i="656"/>
  <c r="AD7" i="656"/>
  <c r="Z7" i="656"/>
  <c r="AH6" i="656"/>
  <c r="AH14" i="656" s="1"/>
  <c r="AD6" i="656"/>
  <c r="Z6" i="656"/>
  <c r="AI10" i="656"/>
  <c r="AA9" i="656"/>
  <c r="AI7" i="656"/>
  <c r="AI6" i="656"/>
  <c r="AK12" i="656"/>
  <c r="AG12" i="656"/>
  <c r="AC12" i="656"/>
  <c r="AK11" i="656"/>
  <c r="AG11" i="656"/>
  <c r="AC11" i="656"/>
  <c r="AK10" i="656"/>
  <c r="AG10" i="656"/>
  <c r="AC10" i="656"/>
  <c r="AK9" i="656"/>
  <c r="AG9" i="656"/>
  <c r="AC9" i="656"/>
  <c r="AK8" i="656"/>
  <c r="AG8" i="656"/>
  <c r="AC8" i="656"/>
  <c r="AK7" i="656"/>
  <c r="AG7" i="656"/>
  <c r="AC7" i="656"/>
  <c r="AK6" i="656"/>
  <c r="AG6" i="656"/>
  <c r="AC6" i="656"/>
  <c r="AI12" i="656"/>
  <c r="AE12" i="656"/>
  <c r="AA12" i="656"/>
  <c r="AE11" i="656"/>
  <c r="AE10" i="656"/>
  <c r="AI9" i="656"/>
  <c r="AE8" i="656"/>
  <c r="AE7" i="656"/>
  <c r="AE6" i="656"/>
  <c r="AE14" i="656" s="1"/>
  <c r="AJ12" i="656"/>
  <c r="AF12" i="656"/>
  <c r="AB12" i="656"/>
  <c r="AJ11" i="656"/>
  <c r="AF11" i="656"/>
  <c r="AB11" i="656"/>
  <c r="AJ10" i="656"/>
  <c r="AF10" i="656"/>
  <c r="AB10" i="656"/>
  <c r="AJ9" i="656"/>
  <c r="AF9" i="656"/>
  <c r="AB9" i="656"/>
  <c r="AJ8" i="656"/>
  <c r="AF8" i="656"/>
  <c r="AB8" i="656"/>
  <c r="AJ7" i="656"/>
  <c r="AF7" i="656"/>
  <c r="AB7" i="656"/>
  <c r="AJ6" i="656"/>
  <c r="AF6" i="656"/>
  <c r="AF14" i="656" s="1"/>
  <c r="AB6" i="656"/>
  <c r="AI11" i="656"/>
  <c r="AA11" i="656"/>
  <c r="AA10" i="656"/>
  <c r="AE9" i="656"/>
  <c r="AI8" i="656"/>
  <c r="AA8" i="656"/>
  <c r="AA7" i="656"/>
  <c r="AA6" i="656"/>
  <c r="AK12" i="659"/>
  <c r="AG12" i="659"/>
  <c r="AC12" i="659"/>
  <c r="AM11" i="659"/>
  <c r="AI11" i="659"/>
  <c r="AE11" i="659"/>
  <c r="AA11" i="659"/>
  <c r="AK10" i="659"/>
  <c r="AG10" i="659"/>
  <c r="AC10" i="659"/>
  <c r="AM9" i="659"/>
  <c r="AI9" i="659"/>
  <c r="AE9" i="659"/>
  <c r="AA9" i="659"/>
  <c r="AK8" i="659"/>
  <c r="AK14" i="659" s="1"/>
  <c r="AG8" i="659"/>
  <c r="AC8" i="659"/>
  <c r="AN12" i="659"/>
  <c r="AJ12" i="659"/>
  <c r="AF12" i="659"/>
  <c r="AB12" i="659"/>
  <c r="AL11" i="659"/>
  <c r="AH11" i="659"/>
  <c r="AD11" i="659"/>
  <c r="AN10" i="659"/>
  <c r="AJ10" i="659"/>
  <c r="AF10" i="659"/>
  <c r="AB10" i="659"/>
  <c r="AL9" i="659"/>
  <c r="AH9" i="659"/>
  <c r="AD9" i="659"/>
  <c r="AN8" i="659"/>
  <c r="AJ8" i="659"/>
  <c r="AF8" i="659"/>
  <c r="AB8" i="659"/>
  <c r="AL12" i="659"/>
  <c r="AH12" i="659"/>
  <c r="AD12" i="659"/>
  <c r="AF11" i="659"/>
  <c r="AL10" i="659"/>
  <c r="AD10" i="659"/>
  <c r="AJ9" i="659"/>
  <c r="AB9" i="659"/>
  <c r="AH8" i="659"/>
  <c r="AM12" i="659"/>
  <c r="AI12" i="659"/>
  <c r="AE12" i="659"/>
  <c r="AA12" i="659"/>
  <c r="AK11" i="659"/>
  <c r="AG11" i="659"/>
  <c r="AC11" i="659"/>
  <c r="AM10" i="659"/>
  <c r="AI10" i="659"/>
  <c r="AE10" i="659"/>
  <c r="AA10" i="659"/>
  <c r="AK9" i="659"/>
  <c r="AG9" i="659"/>
  <c r="AC9" i="659"/>
  <c r="AM8" i="659"/>
  <c r="AM14" i="659" s="1"/>
  <c r="AI8" i="659"/>
  <c r="AE8" i="659"/>
  <c r="AA8" i="659"/>
  <c r="AN11" i="659"/>
  <c r="AJ11" i="659"/>
  <c r="AB11" i="659"/>
  <c r="AH10" i="659"/>
  <c r="AN9" i="659"/>
  <c r="AF9" i="659"/>
  <c r="AL8" i="659"/>
  <c r="AD8" i="659"/>
  <c r="C5" i="11"/>
  <c r="C4" i="11"/>
  <c r="C35" i="11"/>
  <c r="C34" i="11"/>
  <c r="C65" i="11"/>
  <c r="C64" i="11"/>
  <c r="C95" i="11"/>
  <c r="C94" i="11"/>
  <c r="H8" i="1"/>
  <c r="H7" i="1"/>
  <c r="H6" i="1"/>
  <c r="D18" i="521"/>
  <c r="L10" i="4"/>
  <c r="AB14" i="659" l="1"/>
  <c r="AO12" i="659"/>
  <c r="AI14" i="659"/>
  <c r="AP12" i="659"/>
  <c r="F12" i="662" s="1"/>
  <c r="AH14" i="659"/>
  <c r="AN14" i="659"/>
  <c r="AG14" i="659"/>
  <c r="AA14" i="656"/>
  <c r="AB14" i="656"/>
  <c r="AK14" i="656"/>
  <c r="AD14" i="656"/>
  <c r="AL9" i="656"/>
  <c r="E11" i="662" s="1"/>
  <c r="AO11" i="659"/>
  <c r="AL8" i="656"/>
  <c r="E10" i="662" s="1"/>
  <c r="G10" i="662" s="1"/>
  <c r="H10" i="662" s="1"/>
  <c r="AL12" i="656"/>
  <c r="AD14" i="659"/>
  <c r="AA14" i="659"/>
  <c r="AP8" i="659"/>
  <c r="AO9" i="659"/>
  <c r="AP9" i="659" s="1"/>
  <c r="F9" i="662" s="1"/>
  <c r="AF14" i="659"/>
  <c r="AO10" i="659"/>
  <c r="AJ14" i="656"/>
  <c r="AC14" i="656"/>
  <c r="AL7" i="656"/>
  <c r="E9" i="662" s="1"/>
  <c r="AL11" i="656"/>
  <c r="AP10" i="659"/>
  <c r="F10" i="662" s="1"/>
  <c r="AP11" i="659"/>
  <c r="F11" i="662" s="1"/>
  <c r="AL14" i="659"/>
  <c r="AE14" i="659"/>
  <c r="AJ14" i="659"/>
  <c r="AO8" i="659"/>
  <c r="AC14" i="659"/>
  <c r="AG14" i="656"/>
  <c r="AI14" i="656"/>
  <c r="Z14" i="656"/>
  <c r="AL6" i="656"/>
  <c r="AL10" i="656"/>
  <c r="L8" i="4"/>
  <c r="E12" i="662" l="1"/>
  <c r="G12" i="662" s="1"/>
  <c r="H12" i="662" s="1"/>
  <c r="AO14" i="659"/>
  <c r="G11" i="662"/>
  <c r="H11" i="662" s="1"/>
  <c r="AP14" i="659"/>
  <c r="F8" i="662"/>
  <c r="F14" i="662" s="1"/>
  <c r="AL14" i="656"/>
  <c r="E8" i="662"/>
  <c r="G9" i="662"/>
  <c r="H9" i="662" s="1"/>
  <c r="L9" i="4"/>
  <c r="L7" i="4"/>
  <c r="L6" i="4"/>
  <c r="L4" i="4"/>
  <c r="E14" i="662" l="1"/>
  <c r="G8" i="662"/>
  <c r="L5" i="4"/>
  <c r="H8" i="662" l="1"/>
  <c r="H14" i="662" s="1"/>
  <c r="G14" i="662"/>
  <c r="O8" i="1"/>
  <c r="Q13" i="1" l="1"/>
  <c r="Q11" i="1" l="1"/>
  <c r="Q15" i="1"/>
  <c r="H45" i="11" l="1"/>
  <c r="H46" i="11"/>
  <c r="D108" i="11" l="1"/>
  <c r="G116" i="11"/>
  <c r="G86" i="11"/>
  <c r="G56" i="11"/>
  <c r="D48" i="11"/>
  <c r="H48" i="11" s="1"/>
  <c r="G26" i="11"/>
  <c r="D18" i="11"/>
</calcChain>
</file>

<file path=xl/sharedStrings.xml><?xml version="1.0" encoding="utf-8"?>
<sst xmlns="http://schemas.openxmlformats.org/spreadsheetml/2006/main" count="820" uniqueCount="324">
  <si>
    <t>Pinjaman</t>
  </si>
  <si>
    <t>Simpanan</t>
  </si>
  <si>
    <t>Anggota</t>
  </si>
  <si>
    <t>Transaksi</t>
  </si>
  <si>
    <t>Utilitas</t>
  </si>
  <si>
    <t>Kode</t>
  </si>
  <si>
    <t>Diskripsi</t>
  </si>
  <si>
    <t>Nilai</t>
  </si>
  <si>
    <t>#AGT</t>
  </si>
  <si>
    <t>Nomer Anggota Akhir</t>
  </si>
  <si>
    <t>Simpanan Wajib</t>
  </si>
  <si>
    <t>#TRN</t>
  </si>
  <si>
    <t>Nomer Transaksi terakhir</t>
  </si>
  <si>
    <t>#PRD</t>
  </si>
  <si>
    <t>Periode</t>
  </si>
  <si>
    <t>Data Anggota</t>
  </si>
  <si>
    <t>Nama</t>
  </si>
  <si>
    <t>JenKel</t>
  </si>
  <si>
    <t>Alamat</t>
  </si>
  <si>
    <t>No. Kartu ID</t>
  </si>
  <si>
    <t>Tempat Lahir</t>
  </si>
  <si>
    <t>Tanggal Lahir</t>
  </si>
  <si>
    <t>Status</t>
  </si>
  <si>
    <t>Tanggal Reg.</t>
  </si>
  <si>
    <t>Simp. Pokok</t>
  </si>
  <si>
    <t>Simp. Wajib</t>
  </si>
  <si>
    <t>Simp. ManaSuka</t>
  </si>
  <si>
    <t>Pinj. Bayar</t>
  </si>
  <si>
    <t>#PKK</t>
  </si>
  <si>
    <t>Simpanan Pokok</t>
  </si>
  <si>
    <t>#WJB</t>
  </si>
  <si>
    <t>Data Transaksi</t>
  </si>
  <si>
    <t>Tanggal</t>
  </si>
  <si>
    <t>Jumlah</t>
  </si>
  <si>
    <t>Jenis</t>
  </si>
  <si>
    <t>Jumlah Kas</t>
  </si>
  <si>
    <t>#KAS</t>
  </si>
  <si>
    <t>HARI/TANGGAL       :</t>
  </si>
  <si>
    <t>NO. REGISTER :</t>
  </si>
  <si>
    <t>2014-1-1-P0</t>
  </si>
  <si>
    <t>NO. ANGGOTA  :</t>
  </si>
  <si>
    <t>NAMA         :</t>
  </si>
  <si>
    <t>Agus Susanto</t>
  </si>
  <si>
    <t>TOTAL SIMPANAN SAAT INI</t>
  </si>
  <si>
    <t>SIMPANAN WAJIB     :</t>
  </si>
  <si>
    <t>SIMPANAN MANASUKA  :</t>
  </si>
  <si>
    <t>TOTAL SETORAN      :</t>
  </si>
  <si>
    <t>SALDO SIMPANAN</t>
  </si>
  <si>
    <t>CHECKER</t>
  </si>
  <si>
    <t>KAHAR</t>
  </si>
  <si>
    <t>KOPERASI BARUNA</t>
  </si>
  <si>
    <t>TEGALDONON SUMBERARUM MOYUDAN SLEMAN YOGYAKARTA</t>
  </si>
  <si>
    <t>TELP: 0274-6608202</t>
  </si>
  <si>
    <t>PEMBAYARAN</t>
  </si>
  <si>
    <t>NOTA PENARIKAN SIMPANAN ANGGOTA</t>
  </si>
  <si>
    <t>SLIP PINJAMAN</t>
  </si>
  <si>
    <t>NOTA PENYETORAN SIMPANAN ANGGOTA</t>
  </si>
  <si>
    <t>CODE         :</t>
  </si>
  <si>
    <t>Normal</t>
  </si>
  <si>
    <t>ANGGOTA</t>
  </si>
  <si>
    <t xml:space="preserve">Jumlah Maks.Penarikan : </t>
  </si>
  <si>
    <t>Jumlah Penarikan      :</t>
  </si>
  <si>
    <t>PENARIKAN SIMPANAN</t>
  </si>
  <si>
    <t>JUMLAH PLAFON      :</t>
  </si>
  <si>
    <t>ANGSURAN           :</t>
  </si>
  <si>
    <t>JASA tiap transaksi:</t>
  </si>
  <si>
    <t>NO. PINJAMAN :</t>
  </si>
  <si>
    <t>(Nilai Jasa Min 1% dari Jumlah Plafon dan Max 10% dari nilai Plafon)</t>
  </si>
  <si>
    <t>ANGSURAN KE        :</t>
  </si>
  <si>
    <t>Checker</t>
  </si>
  <si>
    <t>Simp. Mana Suka</t>
  </si>
  <si>
    <t>Angsuran</t>
  </si>
  <si>
    <t>Jasa</t>
  </si>
  <si>
    <t>Lain</t>
  </si>
  <si>
    <t>Ket. Trans. Lain</t>
  </si>
  <si>
    <t>#TKM</t>
  </si>
  <si>
    <t>Transaksi Kas Masuk</t>
  </si>
  <si>
    <t>#TKK</t>
  </si>
  <si>
    <t>Transaksi Kas Keluar</t>
  </si>
  <si>
    <t>SIMPANAN POKOK     :</t>
  </si>
  <si>
    <t>SLIP ANGSURAN PINJAMAN</t>
  </si>
  <si>
    <t>Laporan</t>
  </si>
  <si>
    <t>Data Pinjaman</t>
  </si>
  <si>
    <t>No. Reg. Anggota</t>
  </si>
  <si>
    <t>No. Reg. Transaksi</t>
  </si>
  <si>
    <t>No. Reg. Pinjaman</t>
  </si>
  <si>
    <t>Plafon</t>
  </si>
  <si>
    <t>Jasa/Angsuran</t>
  </si>
  <si>
    <t>Jangka Waktu</t>
  </si>
  <si>
    <t>Jenis Pinjaman</t>
  </si>
  <si>
    <t>#JSA</t>
  </si>
  <si>
    <t>Prosentase Jasa / Angsuran</t>
  </si>
  <si>
    <t>#PJM</t>
  </si>
  <si>
    <t>Checker :</t>
  </si>
  <si>
    <t>#PDB</t>
  </si>
  <si>
    <t>Password Database</t>
  </si>
  <si>
    <t>#SDB</t>
  </si>
  <si>
    <t>Status database : 0 = Disabled, 1 = Enabled</t>
  </si>
  <si>
    <t>#JGK</t>
  </si>
  <si>
    <t>Jangka Waktu Standart (bulan)</t>
  </si>
  <si>
    <t>#MAX</t>
  </si>
  <si>
    <t>Jumlah Pinjaman maximal</t>
  </si>
  <si>
    <t>Tabel Angsuran</t>
  </si>
  <si>
    <t>Bayar</t>
  </si>
  <si>
    <t>Sisa Pinjaman</t>
  </si>
  <si>
    <t>#CHK</t>
  </si>
  <si>
    <t>Nama Checker</t>
  </si>
  <si>
    <t>#PUT</t>
  </si>
  <si>
    <t>Password Utilitas</t>
  </si>
  <si>
    <t>Total Jasa</t>
  </si>
  <si>
    <t>#JNS</t>
  </si>
  <si>
    <t>Jenis Transaksi S : Simpanan, P : Pinjaman</t>
  </si>
  <si>
    <t>#JGS</t>
  </si>
  <si>
    <t>Jangka Waktu Sebrakan</t>
  </si>
  <si>
    <t>Jatuh Tempo</t>
  </si>
  <si>
    <t>Angs. Ke</t>
  </si>
  <si>
    <t>#JSS</t>
  </si>
  <si>
    <t>Prosentase Jasa Sebrakan</t>
  </si>
  <si>
    <t>#JSB</t>
  </si>
  <si>
    <t>Prosentase Jasa Bebas</t>
  </si>
  <si>
    <t>#JGB</t>
  </si>
  <si>
    <t>Jangka Waktu Bebas</t>
  </si>
  <si>
    <t>Periode :</t>
  </si>
  <si>
    <t>Jasa Bayar</t>
  </si>
  <si>
    <t>No. Urut</t>
  </si>
  <si>
    <t>No. Anggota</t>
  </si>
  <si>
    <t>Tanggal Pinj.</t>
  </si>
  <si>
    <t>Jan</t>
  </si>
  <si>
    <t>Feb</t>
  </si>
  <si>
    <t>Mar</t>
  </si>
  <si>
    <t>Apr</t>
  </si>
  <si>
    <t>Mei</t>
  </si>
  <si>
    <t>Jun</t>
  </si>
  <si>
    <t>Jul</t>
  </si>
  <si>
    <t>Ags</t>
  </si>
  <si>
    <t>Sep</t>
  </si>
  <si>
    <t>Okt</t>
  </si>
  <si>
    <t>Nov</t>
  </si>
  <si>
    <t>Des</t>
  </si>
  <si>
    <t>JASA PINJAMAN ANGGOTA</t>
  </si>
  <si>
    <t>Tegaldonon Sumberarum Moyudan, Sleman</t>
  </si>
  <si>
    <t>ok</t>
  </si>
  <si>
    <t>Xxx</t>
  </si>
  <si>
    <t>Laki</t>
  </si>
  <si>
    <t>xxx</t>
  </si>
  <si>
    <t>2015-01-1-S.1</t>
  </si>
  <si>
    <t>Anggota Baru</t>
  </si>
  <si>
    <t>TKM</t>
  </si>
  <si>
    <t>Ddd</t>
  </si>
  <si>
    <t>ddd</t>
  </si>
  <si>
    <t>2015-01-2-S.2</t>
  </si>
  <si>
    <t>2015-01-3-S.3</t>
  </si>
  <si>
    <t>Pinjaman Baru</t>
  </si>
  <si>
    <t>TKK</t>
  </si>
  <si>
    <t>P0001.3</t>
  </si>
  <si>
    <t>SIMPANAN ANGGOTA</t>
  </si>
  <si>
    <t>Pokok</t>
  </si>
  <si>
    <t>Wajib</t>
  </si>
  <si>
    <t>Mana Suka</t>
  </si>
  <si>
    <t>SIMPANAN</t>
  </si>
  <si>
    <t>Total Manasuka</t>
  </si>
  <si>
    <t>TOTAL SIMPANAN</t>
  </si>
  <si>
    <t>Bebas</t>
  </si>
  <si>
    <t>KOPERASI SIMPAN PINJAM</t>
  </si>
  <si>
    <t>BARUNA</t>
  </si>
  <si>
    <t>Sekretariat :  Tegaldonon Sumberarum Moyudan Sleman</t>
  </si>
  <si>
    <t>SURAT PERNYATAAN</t>
  </si>
  <si>
    <t>Saya yang bertanda tangan di bawah ini :</t>
  </si>
  <si>
    <t>:</t>
  </si>
  <si>
    <t xml:space="preserve">Nomer Anggota </t>
  </si>
  <si>
    <t>menyatakan dengan sebenarnya bahwa :</t>
  </si>
  <si>
    <t>1.</t>
  </si>
  <si>
    <t>2.</t>
  </si>
  <si>
    <t>3.</t>
  </si>
  <si>
    <t>4.</t>
  </si>
  <si>
    <t>5.</t>
  </si>
  <si>
    <t>Menyetujui :</t>
  </si>
  <si>
    <t>Suami/Istri Anggota Koperasi</t>
  </si>
  <si>
    <t>Yang Menyatakan :</t>
  </si>
  <si>
    <t>Anggota Koperasi BARUNA</t>
  </si>
  <si>
    <t>Tegaldonon,</t>
  </si>
  <si>
    <t>P0002.2</t>
  </si>
  <si>
    <t>Lunas</t>
  </si>
  <si>
    <t>beli buku</t>
  </si>
  <si>
    <t>KAS</t>
  </si>
  <si>
    <t>Saldo Pinjaman</t>
  </si>
  <si>
    <t>Simpanan Masuk</t>
  </si>
  <si>
    <t>No. Angsuran</t>
  </si>
  <si>
    <t>Tgl. Jatuh Tempo</t>
  </si>
  <si>
    <t>Denda</t>
  </si>
  <si>
    <t>Pinj. Sblm. Angs.</t>
  </si>
  <si>
    <t>Pinj. Stlh. Angs.</t>
  </si>
  <si>
    <t>Tgl. Transaksi</t>
  </si>
  <si>
    <t>2015-01-2-S.3</t>
  </si>
  <si>
    <t>2015-01-1-S.4</t>
  </si>
  <si>
    <t>Ssss</t>
  </si>
  <si>
    <t>sss</t>
  </si>
  <si>
    <t>2015-01-3-P.6</t>
  </si>
  <si>
    <t>2015-01-2-P.7</t>
  </si>
  <si>
    <t>2015-01-2-P.8</t>
  </si>
  <si>
    <t>Angsuran Pinjaman Ke 1 s/d 2 (Normal)</t>
  </si>
  <si>
    <t>Depan</t>
  </si>
  <si>
    <t>2015-01-0-N.9</t>
  </si>
  <si>
    <t>saldo kas awal</t>
  </si>
  <si>
    <t>2015-01-0-N.10</t>
  </si>
  <si>
    <t>#%SP</t>
  </si>
  <si>
    <t>#%PJ</t>
  </si>
  <si>
    <t>#%SH</t>
  </si>
  <si>
    <t>Jumlah % SHU yang dibagikan</t>
  </si>
  <si>
    <t>Jumlah % Simpanan untuk pembagian SHU</t>
  </si>
  <si>
    <t>Jumlah % Pinjaman untuk pembagian SHU</t>
  </si>
  <si>
    <t>#%SN</t>
  </si>
  <si>
    <t>Jumlah % Nilai simpanan dari % Simpanan untuk pembagian SHU</t>
  </si>
  <si>
    <t>Jumlah % Kuantiti hari simpanan dari % Simpanan untuk pembagian SHU</t>
  </si>
  <si>
    <t>#%SK</t>
  </si>
  <si>
    <t>coba</t>
  </si>
  <si>
    <t>#%PG</t>
  </si>
  <si>
    <t>Jumlah % jasa pengurus (pembulatan 5000)</t>
  </si>
  <si>
    <t>2015-01-3-P.11</t>
  </si>
  <si>
    <t>Angsuran Pinjaman Ke 1 (Bebas)</t>
  </si>
  <si>
    <t>Tahun 2015</t>
  </si>
  <si>
    <t>Total :</t>
  </si>
  <si>
    <t>2015-01-1-P.12</t>
  </si>
  <si>
    <t>P0003.1</t>
  </si>
  <si>
    <t>Aaa</t>
  </si>
  <si>
    <t>aaa</t>
  </si>
  <si>
    <t>2015-01-4-S.13</t>
  </si>
  <si>
    <t>2015-01-4-P.14</t>
  </si>
  <si>
    <t>P0004.4</t>
  </si>
  <si>
    <t>Ggg</t>
  </si>
  <si>
    <t>ggg</t>
  </si>
  <si>
    <t>2015-01-5-S.14</t>
  </si>
  <si>
    <t>2015-01-5-P.16</t>
  </si>
  <si>
    <t>P0005.5</t>
  </si>
  <si>
    <t>Sebrakan</t>
  </si>
  <si>
    <t>2015-01-5-P.17</t>
  </si>
  <si>
    <t>Angsuran Pinjaman Ke 1 (Normal)</t>
  </si>
  <si>
    <t>2015-01-5-P.18</t>
  </si>
  <si>
    <t>P0006.5</t>
  </si>
  <si>
    <t>2015-01-4-S.19</t>
  </si>
  <si>
    <t>Sblm</t>
  </si>
  <si>
    <t>Sebelum</t>
  </si>
  <si>
    <t>SHU PINJAMAN ANGGOTA</t>
  </si>
  <si>
    <t>SHU Total</t>
  </si>
  <si>
    <t>Sebelum th 2015</t>
  </si>
  <si>
    <t>2015-01-5-P.20</t>
  </si>
  <si>
    <t>Angsuran Pinjaman Ke 2 (Normal)</t>
  </si>
  <si>
    <t>Rp.</t>
  </si>
  <si>
    <t>permintaan pinjaman.</t>
  </si>
  <si>
    <t>peraturan dan kesepakatan yang berlaku.</t>
  </si>
  <si>
    <t>angsuran dan jasa pinjaman koperasi sesuai dengan waktu yang telah ditentukan.</t>
  </si>
  <si>
    <t>peraturan dan kesepakatan.</t>
  </si>
  <si>
    <t>telah   menerima   pinjaman   uang   sebesar</t>
  </si>
  <si>
    <t>Bersedia menerima  sanksi dari pengurus  Koperasi  Simpan  Pinjam  BARUNA  apabila  tidak membayaran</t>
  </si>
  <si>
    <t xml:space="preserve">Koperasi Simpan Pinjam BARUNA apabila dikemudian hari  tidak bisa membayar angsuran  sesuai dengan </t>
  </si>
  <si>
    <t>Bersungguh-sungguh  akan   menggunakan   uang   pinjaman  yang  dimaksud  sesuai  dengan  pernyataan</t>
  </si>
  <si>
    <t xml:space="preserve">Bersedia    menyelesaikan   masalah    pinjaman    sesuai   dengan   kebijakan   dan   arahan  dari  Pengurus </t>
  </si>
  <si>
    <t xml:space="preserve">Bersedia   membayar   angsuran  dan  jasa   pinjaman   Koperasi  Simpan  Pinjam  BARUNA  sesuai  dengan </t>
  </si>
  <si>
    <t>2015-01-5-S.21</t>
  </si>
  <si>
    <t>SHU TOTAL</t>
  </si>
  <si>
    <t>Simpanan Mana Suka</t>
  </si>
  <si>
    <t>PENGELUARAN</t>
  </si>
  <si>
    <t>SHU</t>
  </si>
  <si>
    <t>SHU dibagi</t>
  </si>
  <si>
    <t>Jasa Pengurus &amp; Pengawas (10%)</t>
  </si>
  <si>
    <t>Jasa Simpanan (60%)</t>
  </si>
  <si>
    <t>Jasa Pinjaman (40%)</t>
  </si>
  <si>
    <t>SIMPANAN MANA SUKA ANGGOTA</t>
  </si>
  <si>
    <t>SHU SIMPANAN ANGGOTA</t>
  </si>
  <si>
    <t>SHU Anggota</t>
  </si>
  <si>
    <t>SHU Pinjaman</t>
  </si>
  <si>
    <t>SHU Simpanan</t>
  </si>
  <si>
    <t>SHU Total (Pembulatan)</t>
  </si>
  <si>
    <t>SISA PINJAMAN:</t>
  </si>
  <si>
    <t>2015-01-5-P.22</t>
  </si>
  <si>
    <t>P0007.5</t>
  </si>
  <si>
    <t>Pada hari Jumat</t>
  </si>
  <si>
    <t>0005</t>
  </si>
  <si>
    <t>2 Januari 2015</t>
  </si>
  <si>
    <t>( lima juta rupiah ).</t>
  </si>
  <si>
    <t>pll</t>
  </si>
  <si>
    <t>2015-01-5-P.23</t>
  </si>
  <si>
    <t>#KOP</t>
  </si>
  <si>
    <t>#ALM</t>
  </si>
  <si>
    <t>#TLP</t>
  </si>
  <si>
    <t>Aplikasi Simpan Pinjam</t>
  </si>
  <si>
    <t>Periode 201503</t>
  </si>
  <si>
    <t>NERACA</t>
  </si>
  <si>
    <t xml:space="preserve"> KOPERASI SIMPAN PINJAM</t>
  </si>
  <si>
    <t>NO</t>
  </si>
  <si>
    <t>AKTIVA</t>
  </si>
  <si>
    <t>PASIVA</t>
  </si>
  <si>
    <t>URAIAN</t>
  </si>
  <si>
    <t>JUMLAH</t>
  </si>
  <si>
    <t>Kas Tunai</t>
  </si>
  <si>
    <t xml:space="preserve">a.  Anggota     </t>
  </si>
  <si>
    <t>b.  Bank Exim</t>
  </si>
  <si>
    <t>c.  Baitul Mall</t>
  </si>
  <si>
    <t>Simpanan Manasuka</t>
  </si>
  <si>
    <t>Piutang</t>
  </si>
  <si>
    <t>Jasa Tahun 2014</t>
  </si>
  <si>
    <t>Pengeluaran Tahun 2014</t>
  </si>
  <si>
    <t>Dana Cadangan</t>
  </si>
  <si>
    <t>Tegaldonon, 31 Desember 2014</t>
  </si>
  <si>
    <t>Ketua</t>
  </si>
  <si>
    <t xml:space="preserve">                     Bendahara</t>
  </si>
  <si>
    <t>Mardi, S.Pd</t>
  </si>
  <si>
    <t xml:space="preserve">                     Irmawan Assidiq</t>
  </si>
  <si>
    <t>Pengawas</t>
  </si>
  <si>
    <t>Kasiman</t>
  </si>
  <si>
    <t>Jasa Tahun 2015</t>
  </si>
  <si>
    <t>Pengeluaran Tahun 2015</t>
  </si>
  <si>
    <t>Tegaldonon, 31 Desember 2015</t>
  </si>
  <si>
    <t>SALDO AWAL</t>
  </si>
  <si>
    <t>PEMASUKAN</t>
  </si>
  <si>
    <t>Jasa Angs.</t>
  </si>
  <si>
    <t>Non Simp. Pinj.</t>
  </si>
  <si>
    <t>Total PEMASUKAN</t>
  </si>
  <si>
    <t>Simpanan Keluar</t>
  </si>
  <si>
    <t>SALDO AKHIR</t>
  </si>
  <si>
    <t>MUTASI KAS</t>
  </si>
  <si>
    <t>Ahzizi</t>
  </si>
  <si>
    <t>Jl KH. Utsman Kangkung</t>
  </si>
  <si>
    <t>0856 4159 4659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</si>
</sst>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_(&quot;Rp&quot;* #,##0_);_(&quot;Rp&quot;* \(#,##0\);_(&quot;Rp&quot;* &quot;-&quot;_);_(@_)"/>
    <numFmt numFmtId="165" formatCode="_(* #,##0_);_(* \(#,##0\);_(* &quot;-&quot;_);_(@_)"/>
    <numFmt numFmtId="166" formatCode="_(* #,##0.00_);_(* \(#,##0.00\);_(* &quot;-&quot;??_);_(@_)"/>
    <numFmt numFmtId="167" formatCode="[$-421]dddd\,\ dd\ mmmm\ yyyy;@"/>
    <numFmt numFmtId="168" formatCode="_(* #,##0.0_);_(* \(#,##0.0\);_(* &quot;-&quot;??_);_(@_)"/>
    <numFmt numFmtId="169" formatCode="0000"/>
    <numFmt numFmtId="170" formatCode="dd/mm/yyyy;@"/>
    <numFmt numFmtId="171" formatCode="#,#00"/>
  </numFmts>
  <fonts count="38"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charset val="1"/>
      <scheme val="minor"/>
    </font>
    <font>
      <sz val="14"/>
      <color theme="1"/>
      <name val="Impact"/>
      <family val="2"/>
    </font>
    <font>
      <b/>
      <sz val="11"/>
      <color theme="1"/>
      <name val="Calibri"/>
      <family val="2"/>
      <scheme val="minor"/>
    </font>
    <font>
      <b/>
      <sz val="11"/>
      <color theme="1"/>
      <name val="Courier New"/>
      <family val="3"/>
    </font>
    <font>
      <sz val="11"/>
      <color theme="1"/>
      <name val="Courier New"/>
      <family val="3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"/>
      <name val="Courier New"/>
      <family val="3"/>
    </font>
    <font>
      <i/>
      <sz val="10"/>
      <color theme="1"/>
      <name val="Courier New"/>
      <family val="3"/>
    </font>
    <font>
      <sz val="11"/>
      <color theme="1"/>
      <name val="Impact"/>
      <family val="2"/>
    </font>
    <font>
      <sz val="18"/>
      <color theme="0" tint="-0.34998626667073579"/>
      <name val="Impact"/>
      <family val="2"/>
    </font>
    <font>
      <sz val="22"/>
      <color theme="0" tint="-0.14999847407452621"/>
      <name val="Impact"/>
      <family val="2"/>
    </font>
    <font>
      <u/>
      <sz val="11"/>
      <color theme="10"/>
      <name val="Calibri"/>
      <family val="2"/>
      <charset val="1"/>
      <scheme val="minor"/>
    </font>
    <font>
      <i/>
      <sz val="11"/>
      <color theme="1"/>
      <name val="Calibri"/>
      <family val="2"/>
      <scheme val="minor"/>
    </font>
    <font>
      <i/>
      <sz val="11"/>
      <color theme="0" tint="-0.34998626667073579"/>
      <name val="Calibri"/>
      <family val="2"/>
      <scheme val="minor"/>
    </font>
    <font>
      <sz val="20"/>
      <color theme="6" tint="0.39997558519241921"/>
      <name val="Impact"/>
      <family val="2"/>
    </font>
    <font>
      <sz val="20"/>
      <color theme="8" tint="0.39997558519241921"/>
      <name val="Impact"/>
      <family val="2"/>
    </font>
    <font>
      <sz val="20"/>
      <color theme="5" tint="0.39997558519241921"/>
      <name val="Impact"/>
      <family val="2"/>
    </font>
    <font>
      <sz val="20"/>
      <color theme="7" tint="0.39997558519241921"/>
      <name val="Impact"/>
      <family val="2"/>
    </font>
    <font>
      <sz val="20"/>
      <color theme="9" tint="0.39997558519241921"/>
      <name val="Impact"/>
      <family val="2"/>
    </font>
    <font>
      <sz val="20"/>
      <color theme="4" tint="0.39997558519241921"/>
      <name val="Impact"/>
      <family val="2"/>
    </font>
    <font>
      <sz val="36"/>
      <color theme="2" tint="-0.249977111117893"/>
      <name val="Impact"/>
      <family val="2"/>
    </font>
    <font>
      <sz val="26"/>
      <color theme="2" tint="-0.89999084444715716"/>
      <name val="Impact"/>
      <family val="2"/>
    </font>
    <font>
      <sz val="20"/>
      <color theme="2" tint="-0.749992370372631"/>
      <name val="Impact"/>
      <family val="2"/>
    </font>
    <font>
      <sz val="12"/>
      <color theme="1"/>
      <name val="Impact"/>
      <family val="2"/>
    </font>
    <font>
      <sz val="16"/>
      <color theme="1"/>
      <name val="Impact"/>
      <family val="2"/>
    </font>
    <font>
      <sz val="11"/>
      <color indexed="9"/>
      <name val="Calibri"/>
      <family val="2"/>
      <charset val="1"/>
      <scheme val="minor"/>
    </font>
    <font>
      <b/>
      <sz val="11"/>
      <color theme="0" tint="-0.499984740745262"/>
      <name val="Calibri"/>
      <family val="2"/>
      <scheme val="minor"/>
    </font>
    <font>
      <sz val="16"/>
      <color theme="1"/>
      <name val="Arial Black"/>
      <family val="2"/>
    </font>
    <font>
      <sz val="14"/>
      <color theme="1"/>
      <name val="Aharoni"/>
      <charset val="177"/>
    </font>
    <font>
      <b/>
      <sz val="24"/>
      <color theme="1"/>
      <name val="Rosewood Std Regular"/>
      <charset val="1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charset val="1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i/>
      <sz val="14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</fills>
  <borders count="9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theme="8"/>
      </top>
      <bottom/>
      <diagonal/>
    </border>
    <border>
      <left/>
      <right/>
      <top style="medium">
        <color theme="9"/>
      </top>
      <bottom/>
      <diagonal/>
    </border>
    <border>
      <left/>
      <right/>
      <top style="medium">
        <color theme="5"/>
      </top>
      <bottom/>
      <diagonal/>
    </border>
    <border>
      <left/>
      <right/>
      <top style="medium">
        <color theme="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8"/>
      </bottom>
      <diagonal/>
    </border>
    <border>
      <left/>
      <right/>
      <top/>
      <bottom style="thick">
        <color theme="6"/>
      </bottom>
      <diagonal/>
    </border>
    <border>
      <left/>
      <right/>
      <top/>
      <bottom style="thick">
        <color theme="2" tint="-0.499984740745262"/>
      </bottom>
      <diagonal/>
    </border>
    <border>
      <left/>
      <right/>
      <top/>
      <bottom style="thick">
        <color theme="9"/>
      </bottom>
      <diagonal/>
    </border>
    <border>
      <left/>
      <right/>
      <top/>
      <bottom style="thick">
        <color theme="7"/>
      </bottom>
      <diagonal/>
    </border>
    <border>
      <left/>
      <right/>
      <top/>
      <bottom style="thick">
        <color theme="5"/>
      </bottom>
      <diagonal/>
    </border>
    <border>
      <left/>
      <right/>
      <top/>
      <bottom style="thick">
        <color theme="0" tint="-0.499984740745262"/>
      </bottom>
      <diagonal/>
    </border>
    <border>
      <left style="medium">
        <color auto="1"/>
      </left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1"/>
      </left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1"/>
      </left>
      <right style="medium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auto="1"/>
      </left>
      <right style="thin">
        <color theme="1"/>
      </right>
      <top style="thin">
        <color theme="0" tint="-0.24994659260841701"/>
      </top>
      <bottom style="medium">
        <color auto="1"/>
      </bottom>
      <diagonal/>
    </border>
    <border>
      <left style="thin">
        <color theme="1"/>
      </left>
      <right style="thin">
        <color theme="1"/>
      </right>
      <top style="thin">
        <color theme="0" tint="-0.24994659260841701"/>
      </top>
      <bottom style="medium">
        <color auto="1"/>
      </bottom>
      <diagonal/>
    </border>
    <border>
      <left style="thin">
        <color theme="1"/>
      </left>
      <right style="medium">
        <color auto="1"/>
      </right>
      <top style="thin">
        <color theme="0" tint="-0.24994659260841701"/>
      </top>
      <bottom style="medium">
        <color auto="1"/>
      </bottom>
      <diagonal/>
    </border>
    <border>
      <left style="thin">
        <color theme="1"/>
      </left>
      <right/>
      <top style="medium">
        <color auto="1"/>
      </top>
      <bottom style="thin">
        <color theme="0" tint="-0.24994659260841701"/>
      </bottom>
      <diagonal/>
    </border>
    <border>
      <left style="thin">
        <color theme="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1"/>
      </left>
      <right/>
      <top style="thin">
        <color theme="0" tint="-0.24994659260841701"/>
      </top>
      <bottom style="medium">
        <color auto="1"/>
      </bottom>
      <diagonal/>
    </border>
    <border>
      <left style="medium">
        <color auto="1"/>
      </left>
      <right style="thin">
        <color theme="1"/>
      </right>
      <top/>
      <bottom style="thin">
        <color theme="0" tint="-0.24994659260841701"/>
      </bottom>
      <diagonal/>
    </border>
    <border>
      <left style="thin">
        <color theme="1"/>
      </left>
      <right style="thin">
        <color theme="1"/>
      </right>
      <top/>
      <bottom style="thin">
        <color theme="0" tint="-0.24994659260841701"/>
      </bottom>
      <diagonal/>
    </border>
    <border>
      <left style="thin">
        <color theme="1"/>
      </left>
      <right/>
      <top/>
      <bottom style="thin">
        <color theme="0" tint="-0.24994659260841701"/>
      </bottom>
      <diagonal/>
    </border>
    <border>
      <left style="thin">
        <color theme="1"/>
      </left>
      <right style="medium">
        <color auto="1"/>
      </right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medium">
        <color auto="1"/>
      </top>
      <bottom style="thin">
        <color theme="0" tint="-0.24994659260841701"/>
      </bottom>
      <diagonal/>
    </border>
    <border>
      <left/>
      <right style="thin">
        <color theme="1"/>
      </right>
      <top style="medium">
        <color auto="1"/>
      </top>
      <bottom style="thin">
        <color theme="0" tint="-0.24994659260841701"/>
      </bottom>
      <diagonal/>
    </border>
    <border>
      <left style="thin">
        <color theme="1"/>
      </left>
      <right style="thin">
        <color theme="1"/>
      </right>
      <top style="medium">
        <color auto="1"/>
      </top>
      <bottom/>
      <diagonal/>
    </border>
    <border>
      <left style="thin">
        <color theme="1"/>
      </left>
      <right style="thin">
        <color theme="1"/>
      </right>
      <top/>
      <bottom/>
      <diagonal/>
    </border>
    <border>
      <left style="medium">
        <color auto="1"/>
      </left>
      <right style="thin">
        <color theme="1"/>
      </right>
      <top style="medium">
        <color auto="1"/>
      </top>
      <bottom/>
      <diagonal/>
    </border>
    <border>
      <left style="medium">
        <color auto="1"/>
      </left>
      <right style="thin">
        <color theme="1"/>
      </right>
      <top/>
      <bottom/>
      <diagonal/>
    </border>
    <border>
      <left style="medium">
        <color auto="1"/>
      </left>
      <right style="thin">
        <color theme="1"/>
      </right>
      <top style="medium">
        <color auto="1"/>
      </top>
      <bottom style="thin">
        <color auto="1"/>
      </bottom>
      <diagonal/>
    </border>
    <border>
      <left style="thin">
        <color theme="1"/>
      </left>
      <right style="thin">
        <color theme="1"/>
      </right>
      <top style="medium">
        <color auto="1"/>
      </top>
      <bottom style="thin">
        <color auto="1"/>
      </bottom>
      <diagonal/>
    </border>
    <border>
      <left style="thin">
        <color theme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theme="1"/>
      </left>
      <right/>
      <top style="medium">
        <color auto="1"/>
      </top>
      <bottom style="thin">
        <color auto="1"/>
      </bottom>
      <diagonal/>
    </border>
    <border>
      <left style="thin">
        <color theme="1"/>
      </left>
      <right style="medium">
        <color auto="1"/>
      </right>
      <top style="medium">
        <color auto="1"/>
      </top>
      <bottom/>
      <diagonal/>
    </border>
    <border>
      <left style="thin">
        <color theme="1"/>
      </left>
      <right style="medium">
        <color auto="1"/>
      </right>
      <top/>
      <bottom/>
      <diagonal/>
    </border>
    <border>
      <left style="medium">
        <color auto="1"/>
      </left>
      <right style="thin">
        <color theme="1"/>
      </right>
      <top/>
      <bottom style="thin">
        <color auto="1"/>
      </bottom>
      <diagonal/>
    </border>
    <border>
      <left style="thin">
        <color theme="1"/>
      </left>
      <right style="thin">
        <color theme="1"/>
      </right>
      <top/>
      <bottom style="thin">
        <color auto="1"/>
      </bottom>
      <diagonal/>
    </border>
    <border>
      <left style="thin">
        <color theme="1"/>
      </left>
      <right/>
      <top/>
      <bottom style="thin">
        <color auto="1"/>
      </bottom>
      <diagonal/>
    </border>
    <border>
      <left style="thin">
        <color theme="1"/>
      </left>
      <right style="medium">
        <color auto="1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medium">
        <color indexed="64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165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3" fillId="0" borderId="0" applyNumberFormat="0" applyFill="0" applyBorder="0" applyAlignment="0" applyProtection="0"/>
  </cellStyleXfs>
  <cellXfs count="282">
    <xf numFmtId="0" fontId="0" fillId="0" borderId="0" xfId="0"/>
    <xf numFmtId="0" fontId="2" fillId="0" borderId="0" xfId="0" applyFont="1"/>
    <xf numFmtId="14" fontId="0" fillId="0" borderId="0" xfId="0" applyNumberFormat="1"/>
    <xf numFmtId="165" fontId="0" fillId="0" borderId="0" xfId="1" applyFont="1"/>
    <xf numFmtId="0" fontId="0" fillId="0" borderId="1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  <xf numFmtId="0" fontId="4" fillId="0" borderId="0" xfId="0" applyFont="1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5" xfId="0" applyBorder="1" applyAlignment="1">
      <alignment vertical="center"/>
    </xf>
    <xf numFmtId="0" fontId="5" fillId="0" borderId="0" xfId="0" applyFont="1" applyBorder="1" applyAlignment="1">
      <alignment vertical="center"/>
    </xf>
    <xf numFmtId="0" fontId="6" fillId="0" borderId="0" xfId="0" applyFont="1" applyBorder="1" applyAlignment="1">
      <alignment vertical="center"/>
    </xf>
    <xf numFmtId="0" fontId="3" fillId="0" borderId="0" xfId="0" applyFont="1" applyBorder="1" applyAlignment="1">
      <alignment vertical="center"/>
    </xf>
    <xf numFmtId="0" fontId="6" fillId="0" borderId="4" xfId="0" applyFont="1" applyBorder="1" applyAlignment="1">
      <alignment vertical="center"/>
    </xf>
    <xf numFmtId="0" fontId="6" fillId="0" borderId="5" xfId="0" applyFont="1" applyBorder="1" applyAlignment="1">
      <alignment vertical="center"/>
    </xf>
    <xf numFmtId="0" fontId="6" fillId="0" borderId="1" xfId="0" applyFont="1" applyBorder="1" applyAlignment="1">
      <alignment vertical="center"/>
    </xf>
    <xf numFmtId="0" fontId="6" fillId="0" borderId="2" xfId="0" applyFont="1" applyBorder="1" applyAlignment="1">
      <alignment vertical="center"/>
    </xf>
    <xf numFmtId="0" fontId="6" fillId="0" borderId="3" xfId="0" applyFont="1" applyBorder="1" applyAlignment="1">
      <alignment vertical="center"/>
    </xf>
    <xf numFmtId="0" fontId="6" fillId="0" borderId="7" xfId="0" applyFont="1" applyBorder="1" applyAlignment="1">
      <alignment vertical="center"/>
    </xf>
    <xf numFmtId="0" fontId="6" fillId="0" borderId="8" xfId="0" applyFont="1" applyBorder="1" applyAlignment="1">
      <alignment vertical="center"/>
    </xf>
    <xf numFmtId="0" fontId="6" fillId="0" borderId="9" xfId="0" applyFont="1" applyBorder="1" applyAlignment="1">
      <alignment vertical="center"/>
    </xf>
    <xf numFmtId="0" fontId="6" fillId="0" borderId="0" xfId="0" applyFont="1"/>
    <xf numFmtId="0" fontId="2" fillId="0" borderId="0" xfId="0" applyFont="1" applyBorder="1" applyAlignment="1">
      <alignment horizontal="left" vertical="center" indent="7"/>
    </xf>
    <xf numFmtId="0" fontId="3" fillId="0" borderId="0" xfId="0" applyFont="1" applyBorder="1" applyAlignment="1">
      <alignment horizontal="left" vertical="center" indent="7"/>
    </xf>
    <xf numFmtId="168" fontId="5" fillId="0" borderId="0" xfId="2" applyNumberFormat="1" applyFont="1" applyBorder="1" applyAlignment="1">
      <alignment vertical="center"/>
    </xf>
    <xf numFmtId="0" fontId="5" fillId="0" borderId="0" xfId="0" applyFont="1" applyAlignment="1">
      <alignment vertical="center"/>
    </xf>
    <xf numFmtId="0" fontId="5" fillId="0" borderId="0" xfId="0" applyFont="1" applyBorder="1" applyAlignment="1">
      <alignment vertical="center" wrapText="1"/>
    </xf>
    <xf numFmtId="0" fontId="5" fillId="0" borderId="0" xfId="0" applyFont="1"/>
    <xf numFmtId="0" fontId="5" fillId="0" borderId="0" xfId="0" applyFont="1" applyBorder="1" applyAlignment="1">
      <alignment horizontal="left" vertical="center"/>
    </xf>
    <xf numFmtId="169" fontId="5" fillId="0" borderId="0" xfId="0" applyNumberFormat="1" applyFont="1" applyBorder="1" applyAlignment="1">
      <alignment horizontal="left" vertical="center" wrapText="1"/>
    </xf>
    <xf numFmtId="0" fontId="4" fillId="0" borderId="0" xfId="0" applyFont="1" applyAlignment="1">
      <alignment vertical="center"/>
    </xf>
    <xf numFmtId="168" fontId="5" fillId="0" borderId="0" xfId="0" applyNumberFormat="1" applyFont="1" applyBorder="1" applyAlignment="1">
      <alignment vertical="center"/>
    </xf>
    <xf numFmtId="0" fontId="5" fillId="0" borderId="6" xfId="0" applyFont="1" applyBorder="1" applyAlignment="1">
      <alignment vertical="center"/>
    </xf>
    <xf numFmtId="168" fontId="5" fillId="0" borderId="6" xfId="0" applyNumberFormat="1" applyFont="1" applyBorder="1" applyAlignment="1">
      <alignment vertical="center"/>
    </xf>
    <xf numFmtId="0" fontId="8" fillId="0" borderId="0" xfId="0" applyFont="1" applyBorder="1" applyAlignment="1">
      <alignment vertical="center"/>
    </xf>
    <xf numFmtId="0" fontId="5" fillId="0" borderId="4" xfId="0" applyFont="1" applyBorder="1" applyAlignment="1">
      <alignment vertical="center"/>
    </xf>
    <xf numFmtId="0" fontId="5" fillId="0" borderId="5" xfId="0" applyFont="1" applyBorder="1" applyAlignment="1">
      <alignment vertical="center"/>
    </xf>
    <xf numFmtId="168" fontId="4" fillId="0" borderId="0" xfId="0" applyNumberFormat="1" applyFont="1" applyBorder="1" applyAlignment="1">
      <alignment vertical="center"/>
    </xf>
    <xf numFmtId="0" fontId="9" fillId="0" borderId="0" xfId="0" applyFont="1" applyBorder="1" applyAlignment="1">
      <alignment vertical="center"/>
    </xf>
    <xf numFmtId="9" fontId="0" fillId="0" borderId="0" xfId="3" applyFont="1"/>
    <xf numFmtId="0" fontId="0" fillId="0" borderId="0" xfId="0" applyFill="1"/>
    <xf numFmtId="0" fontId="15" fillId="0" borderId="0" xfId="4" applyFont="1"/>
    <xf numFmtId="3" fontId="0" fillId="0" borderId="0" xfId="0" applyNumberFormat="1"/>
    <xf numFmtId="0" fontId="3" fillId="0" borderId="0" xfId="0" applyFont="1" applyFill="1" applyBorder="1"/>
    <xf numFmtId="0" fontId="3" fillId="6" borderId="10" xfId="0" applyFont="1" applyFill="1" applyBorder="1"/>
    <xf numFmtId="14" fontId="3" fillId="6" borderId="10" xfId="0" applyNumberFormat="1" applyFont="1" applyFill="1" applyBorder="1"/>
    <xf numFmtId="165" fontId="3" fillId="6" borderId="10" xfId="1" applyFont="1" applyFill="1" applyBorder="1"/>
    <xf numFmtId="0" fontId="3" fillId="4" borderId="11" xfId="0" applyFont="1" applyFill="1" applyBorder="1"/>
    <xf numFmtId="14" fontId="3" fillId="4" borderId="11" xfId="0" applyNumberFormat="1" applyFont="1" applyFill="1" applyBorder="1"/>
    <xf numFmtId="165" fontId="3" fillId="4" borderId="11" xfId="1" applyFont="1" applyFill="1" applyBorder="1"/>
    <xf numFmtId="0" fontId="3" fillId="5" borderId="12" xfId="0" applyFont="1" applyFill="1" applyBorder="1"/>
    <xf numFmtId="3" fontId="3" fillId="5" borderId="12" xfId="0" applyNumberFormat="1" applyFont="1" applyFill="1" applyBorder="1"/>
    <xf numFmtId="0" fontId="3" fillId="7" borderId="13" xfId="0" applyFont="1" applyFill="1" applyBorder="1"/>
    <xf numFmtId="37" fontId="0" fillId="0" borderId="0" xfId="1" applyNumberFormat="1" applyFont="1"/>
    <xf numFmtId="37" fontId="3" fillId="5" borderId="12" xfId="1" applyNumberFormat="1" applyFont="1" applyFill="1" applyBorder="1"/>
    <xf numFmtId="3" fontId="3" fillId="5" borderId="12" xfId="1" applyNumberFormat="1" applyFont="1" applyFill="1" applyBorder="1"/>
    <xf numFmtId="0" fontId="0" fillId="7" borderId="0" xfId="0" applyFill="1" applyBorder="1"/>
    <xf numFmtId="0" fontId="0" fillId="5" borderId="0" xfId="0" applyFill="1" applyBorder="1"/>
    <xf numFmtId="0" fontId="0" fillId="6" borderId="0" xfId="0" applyFill="1" applyBorder="1"/>
    <xf numFmtId="0" fontId="11" fillId="10" borderId="0" xfId="0" applyFont="1" applyFill="1" applyBorder="1" applyAlignment="1">
      <alignment vertical="center"/>
    </xf>
    <xf numFmtId="0" fontId="0" fillId="0" borderId="0" xfId="0" applyBorder="1"/>
    <xf numFmtId="0" fontId="0" fillId="9" borderId="0" xfId="0" applyFill="1" applyBorder="1"/>
    <xf numFmtId="0" fontId="0" fillId="8" borderId="0" xfId="0" applyFill="1" applyBorder="1"/>
    <xf numFmtId="0" fontId="0" fillId="4" borderId="0" xfId="0" applyFill="1" applyBorder="1"/>
    <xf numFmtId="0" fontId="0" fillId="6" borderId="15" xfId="0" applyFill="1" applyBorder="1"/>
    <xf numFmtId="0" fontId="0" fillId="9" borderId="16" xfId="0" applyFill="1" applyBorder="1"/>
    <xf numFmtId="0" fontId="12" fillId="10" borderId="17" xfId="0" applyFont="1" applyFill="1" applyBorder="1" applyAlignment="1">
      <alignment vertical="center"/>
    </xf>
    <xf numFmtId="0" fontId="0" fillId="7" borderId="14" xfId="0" applyFill="1" applyBorder="1"/>
    <xf numFmtId="0" fontId="0" fillId="4" borderId="18" xfId="0" applyFill="1" applyBorder="1"/>
    <xf numFmtId="0" fontId="0" fillId="8" borderId="19" xfId="0" applyFill="1" applyBorder="1"/>
    <xf numFmtId="0" fontId="0" fillId="5" borderId="20" xfId="0" applyFill="1" applyBorder="1"/>
    <xf numFmtId="0" fontId="0" fillId="8" borderId="0" xfId="0" applyFill="1"/>
    <xf numFmtId="0" fontId="0" fillId="11" borderId="0" xfId="0" applyFill="1" applyBorder="1"/>
    <xf numFmtId="0" fontId="14" fillId="11" borderId="0" xfId="0" applyFont="1" applyFill="1" applyBorder="1"/>
    <xf numFmtId="0" fontId="10" fillId="11" borderId="0" xfId="0" applyFont="1" applyFill="1" applyBorder="1" applyAlignment="1">
      <alignment vertical="center"/>
    </xf>
    <xf numFmtId="0" fontId="0" fillId="11" borderId="0" xfId="0" applyFill="1" applyBorder="1" applyAlignment="1" applyProtection="1">
      <alignment vertical="center"/>
      <protection hidden="1"/>
    </xf>
    <xf numFmtId="0" fontId="0" fillId="11" borderId="21" xfId="0" applyFill="1" applyBorder="1"/>
    <xf numFmtId="14" fontId="3" fillId="5" borderId="12" xfId="1" applyNumberFormat="1" applyFont="1" applyFill="1" applyBorder="1"/>
    <xf numFmtId="0" fontId="0" fillId="11" borderId="0" xfId="0" applyFill="1" applyBorder="1" applyAlignment="1">
      <alignment horizontal="left" vertical="center"/>
    </xf>
    <xf numFmtId="0" fontId="10" fillId="0" borderId="0" xfId="0" applyFont="1"/>
    <xf numFmtId="0" fontId="3" fillId="0" borderId="0" xfId="0" applyFont="1"/>
    <xf numFmtId="0" fontId="25" fillId="0" borderId="0" xfId="0" applyFont="1"/>
    <xf numFmtId="0" fontId="0" fillId="0" borderId="22" xfId="0" applyBorder="1"/>
    <xf numFmtId="0" fontId="0" fillId="0" borderId="23" xfId="0" applyBorder="1"/>
    <xf numFmtId="0" fontId="0" fillId="0" borderId="25" xfId="0" applyBorder="1"/>
    <xf numFmtId="0" fontId="0" fillId="0" borderId="26" xfId="0" applyBorder="1"/>
    <xf numFmtId="165" fontId="0" fillId="0" borderId="23" xfId="1" applyFont="1" applyBorder="1"/>
    <xf numFmtId="165" fontId="0" fillId="0" borderId="24" xfId="1" applyFont="1" applyBorder="1"/>
    <xf numFmtId="165" fontId="0" fillId="0" borderId="26" xfId="1" applyFont="1" applyBorder="1"/>
    <xf numFmtId="165" fontId="0" fillId="0" borderId="27" xfId="1" applyFont="1" applyBorder="1"/>
    <xf numFmtId="170" fontId="0" fillId="0" borderId="0" xfId="0" applyNumberFormat="1"/>
    <xf numFmtId="170" fontId="0" fillId="0" borderId="23" xfId="0" applyNumberFormat="1" applyBorder="1"/>
    <xf numFmtId="170" fontId="0" fillId="0" borderId="26" xfId="0" applyNumberFormat="1" applyBorder="1"/>
    <xf numFmtId="165" fontId="0" fillId="0" borderId="29" xfId="1" applyFont="1" applyBorder="1"/>
    <xf numFmtId="165" fontId="0" fillId="0" borderId="30" xfId="1" applyFont="1" applyBorder="1"/>
    <xf numFmtId="0" fontId="3" fillId="0" borderId="0" xfId="0" applyFont="1" applyAlignment="1">
      <alignment horizontal="center" vertical="center"/>
    </xf>
    <xf numFmtId="0" fontId="0" fillId="0" borderId="31" xfId="0" applyBorder="1"/>
    <xf numFmtId="0" fontId="0" fillId="0" borderId="32" xfId="0" applyBorder="1"/>
    <xf numFmtId="165" fontId="0" fillId="0" borderId="32" xfId="1" applyFont="1" applyBorder="1"/>
    <xf numFmtId="170" fontId="0" fillId="0" borderId="32" xfId="0" applyNumberFormat="1" applyBorder="1"/>
    <xf numFmtId="165" fontId="0" fillId="0" borderId="34" xfId="1" applyFont="1" applyBorder="1"/>
    <xf numFmtId="0" fontId="3" fillId="0" borderId="43" xfId="0" applyFont="1" applyBorder="1"/>
    <xf numFmtId="0" fontId="3" fillId="0" borderId="44" xfId="0" applyFont="1" applyBorder="1"/>
    <xf numFmtId="165" fontId="3" fillId="0" borderId="44" xfId="1" applyFont="1" applyBorder="1"/>
    <xf numFmtId="170" fontId="3" fillId="0" borderId="44" xfId="0" applyNumberFormat="1" applyFont="1" applyBorder="1"/>
    <xf numFmtId="165" fontId="3" fillId="0" borderId="45" xfId="1" applyFont="1" applyBorder="1"/>
    <xf numFmtId="165" fontId="3" fillId="0" borderId="46" xfId="1" applyFont="1" applyBorder="1"/>
    <xf numFmtId="165" fontId="0" fillId="0" borderId="33" xfId="1" applyFont="1" applyBorder="1"/>
    <xf numFmtId="3" fontId="0" fillId="0" borderId="0" xfId="1" applyNumberFormat="1" applyFont="1"/>
    <xf numFmtId="3" fontId="3" fillId="0" borderId="32" xfId="0" applyNumberFormat="1" applyFont="1" applyBorder="1" applyAlignment="1">
      <alignment horizontal="center" vertical="center"/>
    </xf>
    <xf numFmtId="3" fontId="3" fillId="0" borderId="50" xfId="0" applyNumberFormat="1" applyFont="1" applyBorder="1" applyAlignment="1">
      <alignment horizontal="center" vertical="center"/>
    </xf>
    <xf numFmtId="3" fontId="3" fillId="0" borderId="50" xfId="1" applyNumberFormat="1" applyFont="1" applyBorder="1" applyAlignment="1">
      <alignment horizontal="center" vertical="center"/>
    </xf>
    <xf numFmtId="3" fontId="3" fillId="0" borderId="51" xfId="1" applyNumberFormat="1" applyFont="1" applyBorder="1" applyAlignment="1">
      <alignment horizontal="center" vertical="center"/>
    </xf>
    <xf numFmtId="3" fontId="0" fillId="0" borderId="32" xfId="0" applyNumberFormat="1" applyBorder="1"/>
    <xf numFmtId="3" fontId="0" fillId="0" borderId="32" xfId="1" applyNumberFormat="1" applyFont="1" applyBorder="1"/>
    <xf numFmtId="3" fontId="0" fillId="0" borderId="33" xfId="1" applyNumberFormat="1" applyFont="1" applyBorder="1"/>
    <xf numFmtId="3" fontId="0" fillId="0" borderId="34" xfId="1" applyNumberFormat="1" applyFont="1" applyBorder="1"/>
    <xf numFmtId="3" fontId="0" fillId="0" borderId="23" xfId="0" applyNumberFormat="1" applyBorder="1"/>
    <xf numFmtId="3" fontId="0" fillId="0" borderId="23" xfId="1" applyNumberFormat="1" applyFont="1" applyBorder="1"/>
    <xf numFmtId="3" fontId="0" fillId="0" borderId="29" xfId="1" applyNumberFormat="1" applyFont="1" applyBorder="1"/>
    <xf numFmtId="3" fontId="0" fillId="0" borderId="24" xfId="1" applyNumberFormat="1" applyFont="1" applyBorder="1"/>
    <xf numFmtId="3" fontId="0" fillId="0" borderId="26" xfId="0" applyNumberFormat="1" applyBorder="1"/>
    <xf numFmtId="3" fontId="0" fillId="0" borderId="26" xfId="1" applyNumberFormat="1" applyFont="1" applyBorder="1"/>
    <xf numFmtId="3" fontId="0" fillId="0" borderId="30" xfId="1" applyNumberFormat="1" applyFont="1" applyBorder="1"/>
    <xf numFmtId="3" fontId="0" fillId="0" borderId="27" xfId="1" applyNumberFormat="1" applyFont="1" applyBorder="1"/>
    <xf numFmtId="14" fontId="0" fillId="0" borderId="32" xfId="0" applyNumberFormat="1" applyBorder="1"/>
    <xf numFmtId="14" fontId="0" fillId="0" borderId="23" xfId="0" applyNumberFormat="1" applyBorder="1"/>
    <xf numFmtId="14" fontId="0" fillId="0" borderId="26" xfId="0" applyNumberFormat="1" applyBorder="1"/>
    <xf numFmtId="0" fontId="0" fillId="0" borderId="0" xfId="0" applyAlignment="1">
      <alignment horizontal="center"/>
    </xf>
    <xf numFmtId="0" fontId="0" fillId="0" borderId="32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25" fillId="0" borderId="0" xfId="0" applyFont="1" applyAlignment="1">
      <alignment horizontal="left" vertical="center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3" fontId="0" fillId="0" borderId="0" xfId="0" applyNumberFormat="1" applyAlignment="1">
      <alignment horizontal="left"/>
    </xf>
    <xf numFmtId="3" fontId="0" fillId="0" borderId="0" xfId="1" applyNumberFormat="1" applyFont="1" applyAlignment="1">
      <alignment horizontal="left"/>
    </xf>
    <xf numFmtId="0" fontId="10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right"/>
    </xf>
    <xf numFmtId="0" fontId="0" fillId="0" borderId="8" xfId="0" applyBorder="1"/>
    <xf numFmtId="9" fontId="0" fillId="0" borderId="0" xfId="0" applyNumberFormat="1"/>
    <xf numFmtId="0" fontId="0" fillId="0" borderId="0" xfId="3" applyNumberFormat="1" applyFont="1"/>
    <xf numFmtId="0" fontId="0" fillId="0" borderId="0" xfId="0" applyNumberFormat="1"/>
    <xf numFmtId="0" fontId="3" fillId="0" borderId="23" xfId="0" applyFont="1" applyBorder="1"/>
    <xf numFmtId="0" fontId="0" fillId="0" borderId="0" xfId="0" quotePrefix="1"/>
    <xf numFmtId="3" fontId="0" fillId="0" borderId="0" xfId="1" applyNumberFormat="1" applyFont="1" applyAlignment="1">
      <alignment horizontal="left"/>
    </xf>
    <xf numFmtId="0" fontId="27" fillId="0" borderId="32" xfId="0" applyFont="1" applyBorder="1"/>
    <xf numFmtId="0" fontId="3" fillId="0" borderId="22" xfId="0" applyFont="1" applyBorder="1"/>
    <xf numFmtId="165" fontId="3" fillId="0" borderId="23" xfId="1" applyFont="1" applyBorder="1"/>
    <xf numFmtId="170" fontId="3" fillId="0" borderId="23" xfId="0" applyNumberFormat="1" applyFont="1" applyBorder="1"/>
    <xf numFmtId="165" fontId="3" fillId="0" borderId="29" xfId="1" applyFont="1" applyBorder="1"/>
    <xf numFmtId="165" fontId="3" fillId="0" borderId="24" xfId="1" applyFont="1" applyBorder="1"/>
    <xf numFmtId="0" fontId="3" fillId="0" borderId="22" xfId="0" applyFont="1" applyBorder="1" applyAlignment="1">
      <alignment horizontal="center" vertical="center"/>
    </xf>
    <xf numFmtId="0" fontId="3" fillId="0" borderId="23" xfId="0" applyFont="1" applyBorder="1" applyAlignment="1">
      <alignment horizontal="center"/>
    </xf>
    <xf numFmtId="14" fontId="3" fillId="0" borderId="23" xfId="0" applyNumberFormat="1" applyFont="1" applyBorder="1"/>
    <xf numFmtId="3" fontId="3" fillId="0" borderId="23" xfId="0" applyNumberFormat="1" applyFont="1" applyBorder="1"/>
    <xf numFmtId="3" fontId="3" fillId="0" borderId="23" xfId="1" applyNumberFormat="1" applyFont="1" applyBorder="1"/>
    <xf numFmtId="3" fontId="3" fillId="0" borderId="29" xfId="1" applyNumberFormat="1" applyFont="1" applyBorder="1"/>
    <xf numFmtId="3" fontId="3" fillId="0" borderId="24" xfId="1" applyNumberFormat="1" applyFont="1" applyBorder="1"/>
    <xf numFmtId="3" fontId="0" fillId="0" borderId="0" xfId="1" applyNumberFormat="1" applyFont="1" applyAlignment="1">
      <alignment horizontal="left"/>
    </xf>
    <xf numFmtId="3" fontId="25" fillId="0" borderId="0" xfId="0" applyNumberFormat="1" applyFont="1"/>
    <xf numFmtId="3" fontId="10" fillId="0" borderId="0" xfId="0" applyNumberFormat="1" applyFont="1"/>
    <xf numFmtId="171" fontId="0" fillId="0" borderId="0" xfId="0" applyNumberFormat="1" applyAlignment="1">
      <alignment horizontal="left"/>
    </xf>
    <xf numFmtId="171" fontId="0" fillId="0" borderId="0" xfId="0" applyNumberFormat="1"/>
    <xf numFmtId="171" fontId="0" fillId="0" borderId="33" xfId="0" applyNumberFormat="1" applyBorder="1"/>
    <xf numFmtId="171" fontId="3" fillId="0" borderId="29" xfId="0" applyNumberFormat="1" applyFont="1" applyBorder="1"/>
    <xf numFmtId="171" fontId="0" fillId="0" borderId="30" xfId="0" applyNumberFormat="1" applyBorder="1"/>
    <xf numFmtId="37" fontId="5" fillId="0" borderId="0" xfId="0" applyNumberFormat="1" applyFont="1" applyBorder="1" applyAlignment="1">
      <alignment vertical="center"/>
    </xf>
    <xf numFmtId="37" fontId="5" fillId="0" borderId="6" xfId="0" applyNumberFormat="1" applyFont="1" applyBorder="1" applyAlignment="1">
      <alignment vertical="center"/>
    </xf>
    <xf numFmtId="37" fontId="4" fillId="0" borderId="0" xfId="0" applyNumberFormat="1" applyFont="1" applyBorder="1" applyAlignment="1">
      <alignment vertical="center"/>
    </xf>
    <xf numFmtId="0" fontId="25" fillId="11" borderId="0" xfId="0" applyFont="1" applyFill="1" applyBorder="1"/>
    <xf numFmtId="0" fontId="28" fillId="11" borderId="0" xfId="0" applyFont="1" applyFill="1" applyBorder="1"/>
    <xf numFmtId="0" fontId="0" fillId="0" borderId="0" xfId="0" applyAlignment="1">
      <alignment horizontal="center"/>
    </xf>
    <xf numFmtId="0" fontId="33" fillId="0" borderId="0" xfId="0" applyFont="1"/>
    <xf numFmtId="0" fontId="35" fillId="0" borderId="0" xfId="0" applyFont="1" applyBorder="1" applyAlignment="1">
      <alignment horizontal="center" vertical="center"/>
    </xf>
    <xf numFmtId="164" fontId="35" fillId="0" borderId="0" xfId="0" applyNumberFormat="1" applyFont="1" applyBorder="1" applyAlignment="1">
      <alignment horizontal="center" vertical="center"/>
    </xf>
    <xf numFmtId="0" fontId="36" fillId="0" borderId="0" xfId="0" applyFont="1"/>
    <xf numFmtId="0" fontId="35" fillId="0" borderId="0" xfId="0" applyFont="1" applyFill="1"/>
    <xf numFmtId="0" fontId="35" fillId="0" borderId="0" xfId="0" applyFont="1"/>
    <xf numFmtId="0" fontId="35" fillId="0" borderId="0" xfId="0" applyFont="1" applyFill="1" applyAlignment="1">
      <alignment horizontal="right"/>
    </xf>
    <xf numFmtId="0" fontId="37" fillId="0" borderId="0" xfId="0" applyFont="1" applyFill="1" applyAlignment="1"/>
    <xf numFmtId="0" fontId="37" fillId="0" borderId="0" xfId="0" applyFont="1" applyFill="1" applyAlignment="1">
      <alignment horizontal="left"/>
    </xf>
    <xf numFmtId="164" fontId="35" fillId="0" borderId="0" xfId="0" applyNumberFormat="1" applyFont="1" applyFill="1"/>
    <xf numFmtId="0" fontId="35" fillId="0" borderId="0" xfId="0" applyFont="1" applyFill="1" applyAlignment="1"/>
    <xf numFmtId="0" fontId="35" fillId="0" borderId="0" xfId="0" applyFont="1" applyFill="1" applyAlignment="1">
      <alignment horizontal="left"/>
    </xf>
    <xf numFmtId="0" fontId="34" fillId="0" borderId="58" xfId="0" applyFont="1" applyFill="1" applyBorder="1" applyAlignment="1">
      <alignment horizontal="center" vertical="center"/>
    </xf>
    <xf numFmtId="0" fontId="34" fillId="0" borderId="59" xfId="0" applyFont="1" applyFill="1" applyBorder="1" applyAlignment="1">
      <alignment horizontal="center" vertical="center"/>
    </xf>
    <xf numFmtId="0" fontId="34" fillId="0" borderId="62" xfId="0" applyFont="1" applyFill="1" applyBorder="1" applyAlignment="1">
      <alignment horizontal="center" vertical="center"/>
    </xf>
    <xf numFmtId="0" fontId="35" fillId="0" borderId="66" xfId="0" applyFont="1" applyFill="1" applyBorder="1" applyAlignment="1">
      <alignment horizontal="center"/>
    </xf>
    <xf numFmtId="0" fontId="35" fillId="0" borderId="67" xfId="0" applyFont="1" applyFill="1" applyBorder="1"/>
    <xf numFmtId="0" fontId="35" fillId="0" borderId="66" xfId="0" applyFont="1" applyFill="1" applyBorder="1"/>
    <xf numFmtId="164" fontId="35" fillId="0" borderId="68" xfId="0" applyNumberFormat="1" applyFont="1" applyFill="1" applyBorder="1" applyAlignment="1">
      <alignment horizontal="center" vertical="center"/>
    </xf>
    <xf numFmtId="0" fontId="35" fillId="0" borderId="71" xfId="0" applyFont="1" applyFill="1" applyBorder="1"/>
    <xf numFmtId="0" fontId="35" fillId="0" borderId="70" xfId="0" applyFont="1" applyFill="1" applyBorder="1"/>
    <xf numFmtId="164" fontId="35" fillId="0" borderId="72" xfId="0" applyNumberFormat="1" applyFont="1" applyFill="1" applyBorder="1" applyAlignment="1">
      <alignment horizontal="center" vertical="center"/>
    </xf>
    <xf numFmtId="0" fontId="35" fillId="0" borderId="74" xfId="0" applyFont="1" applyFill="1" applyBorder="1"/>
    <xf numFmtId="164" fontId="35" fillId="0" borderId="73" xfId="0" applyNumberFormat="1" applyFont="1" applyFill="1" applyBorder="1" applyAlignment="1">
      <alignment horizontal="center" vertical="center"/>
    </xf>
    <xf numFmtId="164" fontId="35" fillId="0" borderId="5" xfId="0" applyNumberFormat="1" applyFont="1" applyFill="1" applyBorder="1" applyAlignment="1">
      <alignment horizontal="center" vertical="center"/>
    </xf>
    <xf numFmtId="164" fontId="35" fillId="0" borderId="66" xfId="0" applyNumberFormat="1" applyFont="1" applyFill="1" applyBorder="1" applyAlignment="1">
      <alignment horizontal="center" vertical="center"/>
    </xf>
    <xf numFmtId="0" fontId="35" fillId="0" borderId="77" xfId="0" applyFont="1" applyFill="1" applyBorder="1" applyAlignment="1">
      <alignment horizontal="center"/>
    </xf>
    <xf numFmtId="0" fontId="35" fillId="0" borderId="78" xfId="0" applyFont="1" applyFill="1" applyBorder="1"/>
    <xf numFmtId="0" fontId="35" fillId="0" borderId="77" xfId="0" applyFont="1" applyFill="1" applyBorder="1"/>
    <xf numFmtId="164" fontId="35" fillId="0" borderId="79" xfId="0" applyNumberFormat="1" applyFont="1" applyFill="1" applyBorder="1" applyAlignment="1">
      <alignment horizontal="center" vertical="center"/>
    </xf>
    <xf numFmtId="0" fontId="35" fillId="0" borderId="70" xfId="0" applyFont="1" applyFill="1" applyBorder="1" applyAlignment="1">
      <alignment horizontal="center" vertical="center" wrapText="1"/>
    </xf>
    <xf numFmtId="0" fontId="35" fillId="0" borderId="70" xfId="0" applyFont="1" applyFill="1" applyBorder="1" applyAlignment="1">
      <alignment horizontal="center"/>
    </xf>
    <xf numFmtId="164" fontId="35" fillId="0" borderId="86" xfId="0" applyNumberFormat="1" applyFont="1" applyFill="1" applyBorder="1" applyAlignment="1">
      <alignment horizontal="center" vertical="center"/>
    </xf>
    <xf numFmtId="164" fontId="35" fillId="0" borderId="89" xfId="0" applyNumberFormat="1" applyFont="1" applyFill="1" applyBorder="1" applyAlignment="1">
      <alignment horizontal="center" vertical="center"/>
    </xf>
    <xf numFmtId="0" fontId="17" fillId="6" borderId="0" xfId="0" applyFont="1" applyFill="1" applyBorder="1" applyAlignment="1">
      <alignment horizontal="left" vertical="center" indent="1"/>
    </xf>
    <xf numFmtId="0" fontId="20" fillId="4" borderId="0" xfId="0" applyFont="1" applyFill="1" applyBorder="1" applyAlignment="1">
      <alignment horizontal="left" vertical="center" indent="1"/>
    </xf>
    <xf numFmtId="0" fontId="18" fillId="5" borderId="0" xfId="0" applyFont="1" applyFill="1" applyBorder="1" applyAlignment="1">
      <alignment horizontal="left" vertical="center" indent="1"/>
    </xf>
    <xf numFmtId="0" fontId="19" fillId="8" borderId="0" xfId="0" applyFont="1" applyFill="1" applyBorder="1" applyAlignment="1">
      <alignment horizontal="left" vertical="center" indent="1"/>
    </xf>
    <xf numFmtId="0" fontId="22" fillId="10" borderId="0" xfId="0" applyFont="1" applyFill="1" applyBorder="1" applyAlignment="1">
      <alignment horizontal="center" vertical="center"/>
    </xf>
    <xf numFmtId="0" fontId="24" fillId="10" borderId="0" xfId="0" applyFont="1" applyFill="1" applyBorder="1" applyAlignment="1">
      <alignment horizontal="center" vertical="center"/>
    </xf>
    <xf numFmtId="0" fontId="23" fillId="10" borderId="0" xfId="0" applyFont="1" applyFill="1" applyBorder="1" applyAlignment="1">
      <alignment horizontal="center" vertical="center"/>
    </xf>
    <xf numFmtId="0" fontId="21" fillId="7" borderId="0" xfId="0" applyFont="1" applyFill="1" applyBorder="1" applyAlignment="1">
      <alignment horizontal="center" vertical="center"/>
    </xf>
    <xf numFmtId="0" fontId="16" fillId="9" borderId="0" xfId="0" applyFont="1" applyFill="1" applyBorder="1" applyAlignment="1">
      <alignment horizontal="left" vertical="center" indent="1"/>
    </xf>
    <xf numFmtId="0" fontId="7" fillId="3" borderId="4" xfId="0" applyFont="1" applyFill="1" applyBorder="1" applyAlignment="1">
      <alignment horizontal="center" vertical="center"/>
    </xf>
    <xf numFmtId="0" fontId="7" fillId="3" borderId="0" xfId="0" applyFont="1" applyFill="1" applyBorder="1" applyAlignment="1">
      <alignment horizontal="center" vertical="center"/>
    </xf>
    <xf numFmtId="0" fontId="7" fillId="3" borderId="5" xfId="0" applyFont="1" applyFill="1" applyBorder="1" applyAlignment="1">
      <alignment horizontal="center" vertical="center"/>
    </xf>
    <xf numFmtId="167" fontId="5" fillId="0" borderId="0" xfId="0" applyNumberFormat="1" applyFont="1" applyBorder="1" applyAlignment="1">
      <alignment horizontal="left" vertical="center"/>
    </xf>
    <xf numFmtId="0" fontId="7" fillId="2" borderId="4" xfId="0" applyFont="1" applyFill="1" applyBorder="1" applyAlignment="1">
      <alignment horizontal="center" vertical="center"/>
    </xf>
    <xf numFmtId="0" fontId="7" fillId="2" borderId="0" xfId="0" applyFont="1" applyFill="1" applyBorder="1" applyAlignment="1">
      <alignment horizontal="center" vertical="center"/>
    </xf>
    <xf numFmtId="0" fontId="7" fillId="2" borderId="5" xfId="0" applyFont="1" applyFill="1" applyBorder="1" applyAlignment="1">
      <alignment horizontal="center" vertical="center"/>
    </xf>
    <xf numFmtId="0" fontId="3" fillId="0" borderId="39" xfId="0" applyFont="1" applyBorder="1" applyAlignment="1">
      <alignment horizontal="center" vertical="center"/>
    </xf>
    <xf numFmtId="0" fontId="3" fillId="0" borderId="40" xfId="0" applyFont="1" applyBorder="1" applyAlignment="1">
      <alignment horizontal="center" vertical="center"/>
    </xf>
    <xf numFmtId="0" fontId="3" fillId="0" borderId="50" xfId="0" applyFont="1" applyBorder="1" applyAlignment="1">
      <alignment horizontal="center" vertical="center"/>
    </xf>
    <xf numFmtId="0" fontId="3" fillId="0" borderId="41" xfId="0" applyFont="1" applyBorder="1" applyAlignment="1">
      <alignment horizontal="center" vertical="center"/>
    </xf>
    <xf numFmtId="0" fontId="3" fillId="0" borderId="42" xfId="0" applyFont="1" applyBorder="1" applyAlignment="1">
      <alignment horizontal="center" vertical="center"/>
    </xf>
    <xf numFmtId="0" fontId="3" fillId="0" borderId="49" xfId="0" applyFont="1" applyBorder="1" applyAlignment="1">
      <alignment horizontal="center" vertical="center"/>
    </xf>
    <xf numFmtId="3" fontId="3" fillId="0" borderId="47" xfId="1" applyNumberFormat="1" applyFont="1" applyBorder="1" applyAlignment="1">
      <alignment horizontal="center" vertical="center"/>
    </xf>
    <xf numFmtId="3" fontId="3" fillId="0" borderId="48" xfId="1" applyNumberFormat="1" applyFont="1" applyBorder="1" applyAlignment="1">
      <alignment horizontal="center" vertical="center"/>
    </xf>
    <xf numFmtId="3" fontId="3" fillId="0" borderId="52" xfId="1" applyNumberFormat="1" applyFont="1" applyBorder="1" applyAlignment="1">
      <alignment horizontal="center" vertical="center"/>
    </xf>
    <xf numFmtId="3" fontId="3" fillId="0" borderId="29" xfId="1" applyNumberFormat="1" applyFont="1" applyBorder="1" applyAlignment="1">
      <alignment horizontal="center" vertical="center"/>
    </xf>
    <xf numFmtId="3" fontId="3" fillId="0" borderId="35" xfId="1" applyNumberFormat="1" applyFont="1" applyBorder="1" applyAlignment="1">
      <alignment horizontal="center" vertical="center"/>
    </xf>
    <xf numFmtId="3" fontId="3" fillId="0" borderId="36" xfId="1" applyNumberFormat="1" applyFont="1" applyBorder="1" applyAlignment="1">
      <alignment horizontal="center" vertical="center"/>
    </xf>
    <xf numFmtId="3" fontId="3" fillId="0" borderId="28" xfId="0" applyNumberFormat="1" applyFont="1" applyBorder="1" applyAlignment="1">
      <alignment horizontal="center" vertical="center"/>
    </xf>
    <xf numFmtId="3" fontId="3" fillId="0" borderId="37" xfId="0" applyNumberFormat="1" applyFont="1" applyBorder="1" applyAlignment="1">
      <alignment horizontal="center" vertical="center"/>
    </xf>
    <xf numFmtId="3" fontId="3" fillId="0" borderId="38" xfId="0" applyNumberFormat="1" applyFont="1" applyBorder="1" applyAlignment="1">
      <alignment horizontal="center" vertical="center"/>
    </xf>
    <xf numFmtId="14" fontId="3" fillId="0" borderId="39" xfId="0" applyNumberFormat="1" applyFont="1" applyBorder="1" applyAlignment="1">
      <alignment horizontal="center" vertical="center"/>
    </xf>
    <xf numFmtId="14" fontId="3" fillId="0" borderId="40" xfId="0" applyNumberFormat="1" applyFont="1" applyBorder="1" applyAlignment="1">
      <alignment horizontal="center" vertical="center"/>
    </xf>
    <xf numFmtId="14" fontId="3" fillId="0" borderId="50" xfId="0" applyNumberFormat="1" applyFont="1" applyBorder="1" applyAlignment="1">
      <alignment horizontal="center" vertical="center"/>
    </xf>
    <xf numFmtId="171" fontId="3" fillId="0" borderId="39" xfId="0" applyNumberFormat="1" applyFont="1" applyBorder="1" applyAlignment="1">
      <alignment horizontal="center" vertical="center"/>
    </xf>
    <xf numFmtId="171" fontId="3" fillId="0" borderId="40" xfId="0" applyNumberFormat="1" applyFont="1" applyBorder="1" applyAlignment="1">
      <alignment horizontal="center" vertical="center"/>
    </xf>
    <xf numFmtId="171" fontId="3" fillId="0" borderId="50" xfId="0" applyNumberFormat="1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4" fillId="0" borderId="53" xfId="0" applyFont="1" applyFill="1" applyBorder="1" applyAlignment="1">
      <alignment horizontal="center" vertical="center"/>
    </xf>
    <xf numFmtId="0" fontId="34" fillId="0" borderId="57" xfId="0" applyFont="1" applyFill="1" applyBorder="1" applyAlignment="1">
      <alignment horizontal="center" vertical="center"/>
    </xf>
    <xf numFmtId="0" fontId="34" fillId="0" borderId="54" xfId="0" applyFont="1" applyFill="1" applyBorder="1" applyAlignment="1">
      <alignment horizontal="center" vertical="center"/>
    </xf>
    <xf numFmtId="0" fontId="34" fillId="0" borderId="55" xfId="0" applyFont="1" applyFill="1" applyBorder="1" applyAlignment="1">
      <alignment horizontal="center" vertical="center"/>
    </xf>
    <xf numFmtId="0" fontId="34" fillId="0" borderId="56" xfId="0" applyFont="1" applyFill="1" applyBorder="1" applyAlignment="1">
      <alignment horizontal="center" vertical="center"/>
    </xf>
    <xf numFmtId="0" fontId="34" fillId="0" borderId="60" xfId="0" applyFont="1" applyFill="1" applyBorder="1" applyAlignment="1">
      <alignment horizontal="center" vertical="center"/>
    </xf>
    <xf numFmtId="0" fontId="34" fillId="0" borderId="61" xfId="0" applyFont="1" applyFill="1" applyBorder="1" applyAlignment="1">
      <alignment horizontal="center" vertical="center"/>
    </xf>
    <xf numFmtId="0" fontId="35" fillId="0" borderId="84" xfId="0" applyFont="1" applyFill="1" applyBorder="1" applyAlignment="1">
      <alignment horizontal="center" vertical="center"/>
    </xf>
    <xf numFmtId="0" fontId="35" fillId="0" borderId="85" xfId="0" applyFont="1" applyFill="1" applyBorder="1" applyAlignment="1">
      <alignment horizontal="center" vertical="center"/>
    </xf>
    <xf numFmtId="0" fontId="35" fillId="0" borderId="87" xfId="0" applyFont="1" applyFill="1" applyBorder="1" applyAlignment="1">
      <alignment horizontal="center" vertical="center"/>
    </xf>
    <xf numFmtId="0" fontId="35" fillId="0" borderId="88" xfId="0" applyFont="1" applyFill="1" applyBorder="1" applyAlignment="1">
      <alignment horizontal="center" vertical="center"/>
    </xf>
    <xf numFmtId="0" fontId="35" fillId="0" borderId="63" xfId="0" applyFont="1" applyFill="1" applyBorder="1" applyAlignment="1">
      <alignment horizontal="center" vertical="center"/>
    </xf>
    <xf numFmtId="0" fontId="35" fillId="0" borderId="75" xfId="0" applyFont="1" applyFill="1" applyBorder="1" applyAlignment="1">
      <alignment horizontal="center" vertical="center"/>
    </xf>
    <xf numFmtId="0" fontId="35" fillId="0" borderId="64" xfId="0" applyFont="1" applyFill="1" applyBorder="1" applyAlignment="1">
      <alignment horizontal="center" vertical="center"/>
    </xf>
    <xf numFmtId="0" fontId="35" fillId="0" borderId="69" xfId="0" applyFont="1" applyFill="1" applyBorder="1" applyAlignment="1">
      <alignment horizontal="center" vertical="center"/>
    </xf>
    <xf numFmtId="164" fontId="35" fillId="0" borderId="65" xfId="0" applyNumberFormat="1" applyFont="1" applyFill="1" applyBorder="1" applyAlignment="1">
      <alignment horizontal="center" vertical="center"/>
    </xf>
    <xf numFmtId="164" fontId="35" fillId="0" borderId="76" xfId="0" applyNumberFormat="1" applyFont="1" applyFill="1" applyBorder="1" applyAlignment="1">
      <alignment horizontal="center" vertical="center"/>
    </xf>
    <xf numFmtId="0" fontId="35" fillId="0" borderId="70" xfId="0" applyFont="1" applyFill="1" applyBorder="1" applyAlignment="1">
      <alignment horizontal="center" vertical="center" wrapText="1"/>
    </xf>
    <xf numFmtId="0" fontId="35" fillId="0" borderId="73" xfId="0" applyFont="1" applyFill="1" applyBorder="1" applyAlignment="1">
      <alignment horizontal="center" vertical="center" wrapText="1"/>
    </xf>
    <xf numFmtId="0" fontId="35" fillId="0" borderId="66" xfId="0" applyFont="1" applyFill="1" applyBorder="1" applyAlignment="1">
      <alignment horizontal="center" vertical="center" wrapText="1"/>
    </xf>
    <xf numFmtId="0" fontId="35" fillId="0" borderId="80" xfId="0" applyFont="1" applyFill="1" applyBorder="1" applyAlignment="1">
      <alignment horizontal="center" vertical="center"/>
    </xf>
    <xf numFmtId="0" fontId="35" fillId="0" borderId="81" xfId="0" applyFont="1" applyFill="1" applyBorder="1" applyAlignment="1">
      <alignment horizontal="center" vertical="center"/>
    </xf>
    <xf numFmtId="0" fontId="35" fillId="0" borderId="83" xfId="0" applyFont="1" applyFill="1" applyBorder="1" applyAlignment="1">
      <alignment horizontal="center" vertical="center"/>
    </xf>
    <xf numFmtId="164" fontId="35" fillId="0" borderId="82" xfId="0" applyNumberFormat="1" applyFont="1" applyFill="1" applyBorder="1" applyAlignment="1">
      <alignment horizontal="center" vertic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</cellXfs>
  <cellStyles count="5">
    <cellStyle name="Comma" xfId="2" builtinId="3"/>
    <cellStyle name="Comma [0]" xfId="1" builtinId="6"/>
    <cellStyle name="Hyperlink" xfId="4" builtinId="8"/>
    <cellStyle name="Normal" xfId="0" builtinId="0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4.png"/><Relationship Id="rId3" Type="http://schemas.openxmlformats.org/officeDocument/2006/relationships/image" Target="../media/image19.png"/><Relationship Id="rId7" Type="http://schemas.openxmlformats.org/officeDocument/2006/relationships/image" Target="../media/image23.png"/><Relationship Id="rId2" Type="http://schemas.openxmlformats.org/officeDocument/2006/relationships/image" Target="../media/image18.png"/><Relationship Id="rId1" Type="http://schemas.openxmlformats.org/officeDocument/2006/relationships/image" Target="../media/image17.png"/><Relationship Id="rId6" Type="http://schemas.openxmlformats.org/officeDocument/2006/relationships/image" Target="../media/image22.png"/><Relationship Id="rId5" Type="http://schemas.openxmlformats.org/officeDocument/2006/relationships/image" Target="../media/image21.png"/><Relationship Id="rId10" Type="http://schemas.openxmlformats.org/officeDocument/2006/relationships/image" Target="../media/image26.png"/><Relationship Id="rId4" Type="http://schemas.openxmlformats.org/officeDocument/2006/relationships/image" Target="../media/image20.png"/><Relationship Id="rId9" Type="http://schemas.openxmlformats.org/officeDocument/2006/relationships/image" Target="../media/image25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8.png"/><Relationship Id="rId7" Type="http://schemas.openxmlformats.org/officeDocument/2006/relationships/image" Target="../media/image32.png"/><Relationship Id="rId2" Type="http://schemas.openxmlformats.org/officeDocument/2006/relationships/image" Target="../media/image27.png"/><Relationship Id="rId1" Type="http://schemas.openxmlformats.org/officeDocument/2006/relationships/image" Target="../media/image19.png"/><Relationship Id="rId6" Type="http://schemas.openxmlformats.org/officeDocument/2006/relationships/image" Target="../media/image31.png"/><Relationship Id="rId5" Type="http://schemas.openxmlformats.org/officeDocument/2006/relationships/image" Target="../media/image30.png"/><Relationship Id="rId4" Type="http://schemas.openxmlformats.org/officeDocument/2006/relationships/image" Target="../media/image29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3.png"/><Relationship Id="rId1" Type="http://schemas.openxmlformats.org/officeDocument/2006/relationships/image" Target="../media/image19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4.png"/><Relationship Id="rId1" Type="http://schemas.openxmlformats.org/officeDocument/2006/relationships/image" Target="../media/image19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35.png"/><Relationship Id="rId1" Type="http://schemas.openxmlformats.org/officeDocument/2006/relationships/image" Target="../media/image19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2" Type="http://schemas.openxmlformats.org/officeDocument/2006/relationships/image" Target="../media/image19.png"/><Relationship Id="rId1" Type="http://schemas.openxmlformats.org/officeDocument/2006/relationships/image" Target="../media/image36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7.png"/><Relationship Id="rId2" Type="http://schemas.openxmlformats.org/officeDocument/2006/relationships/image" Target="../media/image19.png"/><Relationship Id="rId1" Type="http://schemas.openxmlformats.org/officeDocument/2006/relationships/image" Target="../media/image3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89648</xdr:colOff>
      <xdr:row>11</xdr:row>
      <xdr:rowOff>121581</xdr:rowOff>
    </xdr:from>
    <xdr:to>
      <xdr:col>6</xdr:col>
      <xdr:colOff>403973</xdr:colOff>
      <xdr:row>16</xdr:row>
      <xdr:rowOff>93006</xdr:rowOff>
    </xdr:to>
    <xdr:pic macro="[0]!sDtAgt">
      <xdr:nvPicPr>
        <xdr:cNvPr id="10" name="Picture 9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15236" y="2261905"/>
          <a:ext cx="919443" cy="923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6</xdr:col>
      <xdr:colOff>493060</xdr:colOff>
      <xdr:row>11</xdr:row>
      <xdr:rowOff>116540</xdr:rowOff>
    </xdr:from>
    <xdr:to>
      <xdr:col>8</xdr:col>
      <xdr:colOff>202268</xdr:colOff>
      <xdr:row>16</xdr:row>
      <xdr:rowOff>87965</xdr:rowOff>
    </xdr:to>
    <xdr:pic macro="[0]!fAnggotaBaru">
      <xdr:nvPicPr>
        <xdr:cNvPr id="11" name="Picture 10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23766" y="2256864"/>
          <a:ext cx="919443" cy="923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8</xdr:col>
      <xdr:colOff>291353</xdr:colOff>
      <xdr:row>11</xdr:row>
      <xdr:rowOff>121582</xdr:rowOff>
    </xdr:from>
    <xdr:to>
      <xdr:col>10</xdr:col>
      <xdr:colOff>560</xdr:colOff>
      <xdr:row>16</xdr:row>
      <xdr:rowOff>93007</xdr:rowOff>
    </xdr:to>
    <xdr:pic macro="[0]!fAnggotaUbah">
      <xdr:nvPicPr>
        <xdr:cNvPr id="12" name="Picture 11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32294" y="2261906"/>
          <a:ext cx="919442" cy="923925"/>
        </a:xfrm>
        <a:prstGeom prst="rect">
          <a:avLst/>
        </a:prstGeom>
        <a:noFill/>
        <a:extLst/>
      </xdr:spPr>
    </xdr:pic>
    <xdr:clientData/>
  </xdr:twoCellAnchor>
  <xdr:twoCellAnchor editAs="absolute">
    <xdr:from>
      <xdr:col>10</xdr:col>
      <xdr:colOff>100854</xdr:colOff>
      <xdr:row>11</xdr:row>
      <xdr:rowOff>126624</xdr:rowOff>
    </xdr:from>
    <xdr:to>
      <xdr:col>11</xdr:col>
      <xdr:colOff>415178</xdr:colOff>
      <xdr:row>16</xdr:row>
      <xdr:rowOff>98049</xdr:rowOff>
    </xdr:to>
    <xdr:pic macro="[0]!fAnggotaKeluar">
      <xdr:nvPicPr>
        <xdr:cNvPr id="13" name="Picture 12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52030" y="2266948"/>
          <a:ext cx="919442" cy="923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5</xdr:col>
      <xdr:colOff>100855</xdr:colOff>
      <xdr:row>19</xdr:row>
      <xdr:rowOff>99170</xdr:rowOff>
    </xdr:from>
    <xdr:to>
      <xdr:col>6</xdr:col>
      <xdr:colOff>415179</xdr:colOff>
      <xdr:row>24</xdr:row>
      <xdr:rowOff>70595</xdr:rowOff>
    </xdr:to>
    <xdr:pic macro="[0]!sDtPjm">
      <xdr:nvPicPr>
        <xdr:cNvPr id="16" name="Picture 15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26443" y="3763494"/>
          <a:ext cx="919442" cy="923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8</xdr:col>
      <xdr:colOff>313764</xdr:colOff>
      <xdr:row>19</xdr:row>
      <xdr:rowOff>102532</xdr:rowOff>
    </xdr:from>
    <xdr:to>
      <xdr:col>10</xdr:col>
      <xdr:colOff>22972</xdr:colOff>
      <xdr:row>24</xdr:row>
      <xdr:rowOff>73957</xdr:rowOff>
    </xdr:to>
    <xdr:pic macro="[0]!fPinjamanUbah">
      <xdr:nvPicPr>
        <xdr:cNvPr id="19" name="Picture 18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54705" y="3766856"/>
          <a:ext cx="919443" cy="923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10</xdr:col>
      <xdr:colOff>112059</xdr:colOff>
      <xdr:row>19</xdr:row>
      <xdr:rowOff>87404</xdr:rowOff>
    </xdr:from>
    <xdr:to>
      <xdr:col>11</xdr:col>
      <xdr:colOff>426384</xdr:colOff>
      <xdr:row>24</xdr:row>
      <xdr:rowOff>58829</xdr:rowOff>
    </xdr:to>
    <xdr:pic macro="[0]!fAngsuran">
      <xdr:nvPicPr>
        <xdr:cNvPr id="20" name="Picture 19"/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63235" y="3751728"/>
          <a:ext cx="919443" cy="923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13</xdr:col>
      <xdr:colOff>526677</xdr:colOff>
      <xdr:row>11</xdr:row>
      <xdr:rowOff>140073</xdr:rowOff>
    </xdr:from>
    <xdr:to>
      <xdr:col>15</xdr:col>
      <xdr:colOff>235884</xdr:colOff>
      <xdr:row>16</xdr:row>
      <xdr:rowOff>111498</xdr:rowOff>
    </xdr:to>
    <xdr:pic macro="[0]!fSimpananKeluar">
      <xdr:nvPicPr>
        <xdr:cNvPr id="23" name="Picture 22"/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93206" y="2280397"/>
          <a:ext cx="919443" cy="923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12</xdr:col>
      <xdr:colOff>123264</xdr:colOff>
      <xdr:row>11</xdr:row>
      <xdr:rowOff>139513</xdr:rowOff>
    </xdr:from>
    <xdr:to>
      <xdr:col>13</xdr:col>
      <xdr:colOff>437590</xdr:colOff>
      <xdr:row>16</xdr:row>
      <xdr:rowOff>110938</xdr:rowOff>
    </xdr:to>
    <xdr:pic macro="[0]!fSimpananMasuk">
      <xdr:nvPicPr>
        <xdr:cNvPr id="26" name="Picture 25"/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84676" y="2279837"/>
          <a:ext cx="919443" cy="923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6</xdr:col>
      <xdr:colOff>515470</xdr:colOff>
      <xdr:row>19</xdr:row>
      <xdr:rowOff>117660</xdr:rowOff>
    </xdr:from>
    <xdr:to>
      <xdr:col>8</xdr:col>
      <xdr:colOff>224678</xdr:colOff>
      <xdr:row>24</xdr:row>
      <xdr:rowOff>89085</xdr:rowOff>
    </xdr:to>
    <xdr:pic macro="[0]!fPinjamanBaru">
      <xdr:nvPicPr>
        <xdr:cNvPr id="15" name="Picture 14"/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46176" y="3781984"/>
          <a:ext cx="919443" cy="923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12</xdr:col>
      <xdr:colOff>190499</xdr:colOff>
      <xdr:row>19</xdr:row>
      <xdr:rowOff>71717</xdr:rowOff>
    </xdr:from>
    <xdr:to>
      <xdr:col>13</xdr:col>
      <xdr:colOff>504825</xdr:colOff>
      <xdr:row>24</xdr:row>
      <xdr:rowOff>43142</xdr:rowOff>
    </xdr:to>
    <xdr:pic macro="[0]!sLap">
      <xdr:nvPicPr>
        <xdr:cNvPr id="22" name="Picture 21"/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51911" y="3736041"/>
          <a:ext cx="919443" cy="923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16</xdr:col>
      <xdr:colOff>156882</xdr:colOff>
      <xdr:row>19</xdr:row>
      <xdr:rowOff>70596</xdr:rowOff>
    </xdr:from>
    <xdr:to>
      <xdr:col>17</xdr:col>
      <xdr:colOff>471206</xdr:colOff>
      <xdr:row>24</xdr:row>
      <xdr:rowOff>42021</xdr:rowOff>
    </xdr:to>
    <xdr:pic macro="[0]!fUtilitas">
      <xdr:nvPicPr>
        <xdr:cNvPr id="17" name="Picture 16"/>
        <xdr:cNvPicPr>
          <a:picLocks noChangeAspect="1" noChangeArrowheads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8764" y="3734920"/>
          <a:ext cx="919442" cy="923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14</xdr:col>
      <xdr:colOff>156881</xdr:colOff>
      <xdr:row>19</xdr:row>
      <xdr:rowOff>59951</xdr:rowOff>
    </xdr:from>
    <xdr:to>
      <xdr:col>15</xdr:col>
      <xdr:colOff>471206</xdr:colOff>
      <xdr:row>24</xdr:row>
      <xdr:rowOff>34738</xdr:rowOff>
    </xdr:to>
    <xdr:pic macro="[0]!sTrn">
      <xdr:nvPicPr>
        <xdr:cNvPr id="25" name="Picture 24"/>
        <xdr:cNvPicPr>
          <a:picLocks noChangeAspect="1" noChangeArrowheads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28528" y="3724275"/>
          <a:ext cx="919443" cy="9272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235323</xdr:colOff>
      <xdr:row>6</xdr:row>
      <xdr:rowOff>44824</xdr:rowOff>
    </xdr:from>
    <xdr:to>
      <xdr:col>13</xdr:col>
      <xdr:colOff>559323</xdr:colOff>
      <xdr:row>7</xdr:row>
      <xdr:rowOff>167118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81382" y="616324"/>
          <a:ext cx="324000" cy="32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257736</xdr:colOff>
      <xdr:row>6</xdr:row>
      <xdr:rowOff>44823</xdr:rowOff>
    </xdr:from>
    <xdr:to>
      <xdr:col>15</xdr:col>
      <xdr:colOff>562536</xdr:colOff>
      <xdr:row>7</xdr:row>
      <xdr:rowOff>147917</xdr:rowOff>
    </xdr:to>
    <xdr:pic macro="[0]!UpdChecker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14030" y="616323"/>
          <a:ext cx="304800" cy="304800"/>
        </a:xfrm>
        <a:prstGeom prst="rect">
          <a:avLst/>
        </a:prstGeom>
      </xdr:spPr>
    </xdr:pic>
    <xdr:clientData/>
  </xdr:twoCellAnchor>
  <xdr:twoCellAnchor editAs="oneCell">
    <xdr:from>
      <xdr:col>5</xdr:col>
      <xdr:colOff>190500</xdr:colOff>
      <xdr:row>4</xdr:row>
      <xdr:rowOff>33617</xdr:rowOff>
    </xdr:from>
    <xdr:to>
      <xdr:col>6</xdr:col>
      <xdr:colOff>437029</xdr:colOff>
      <xdr:row>8</xdr:row>
      <xdr:rowOff>89646</xdr:rowOff>
    </xdr:to>
    <xdr:pic>
      <xdr:nvPicPr>
        <xdr:cNvPr id="27" name="Picture 26" descr="logo_koperasi_lama_2015s.png"/>
        <xdr:cNvPicPr>
          <a:picLocks noChangeAspect="1"/>
        </xdr:cNvPicPr>
      </xdr:nvPicPr>
      <xdr:blipFill>
        <a:blip xmlns:r="http://schemas.openxmlformats.org/officeDocument/2006/relationships" r:embed="rId16" cstate="print"/>
        <a:stretch>
          <a:fillRect/>
        </a:stretch>
      </xdr:blipFill>
      <xdr:spPr>
        <a:xfrm>
          <a:off x="795618" y="224117"/>
          <a:ext cx="851647" cy="85164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44825</xdr:colOff>
      <xdr:row>1</xdr:row>
      <xdr:rowOff>36420</xdr:rowOff>
    </xdr:from>
    <xdr:to>
      <xdr:col>6</xdr:col>
      <xdr:colOff>159124</xdr:colOff>
      <xdr:row>2</xdr:row>
      <xdr:rowOff>179295</xdr:rowOff>
    </xdr:to>
    <xdr:pic macro="[0]!LapDtAgt">
      <xdr:nvPicPr>
        <xdr:cNvPr id="4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55060" y="226920"/>
          <a:ext cx="2534770" cy="333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2</xdr:col>
      <xdr:colOff>44825</xdr:colOff>
      <xdr:row>3</xdr:row>
      <xdr:rowOff>70598</xdr:rowOff>
    </xdr:from>
    <xdr:to>
      <xdr:col>6</xdr:col>
      <xdr:colOff>149599</xdr:colOff>
      <xdr:row>5</xdr:row>
      <xdr:rowOff>22973</xdr:rowOff>
    </xdr:to>
    <xdr:pic macro="[0]!LapDtPjm">
      <xdr:nvPicPr>
        <xdr:cNvPr id="5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55060" y="642098"/>
          <a:ext cx="2525245" cy="333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112058</xdr:colOff>
      <xdr:row>1</xdr:row>
      <xdr:rowOff>33618</xdr:rowOff>
    </xdr:from>
    <xdr:to>
      <xdr:col>1</xdr:col>
      <xdr:colOff>464483</xdr:colOff>
      <xdr:row>2</xdr:row>
      <xdr:rowOff>186018</xdr:rowOff>
    </xdr:to>
    <xdr:pic macro="[0]!sMenu">
      <xdr:nvPicPr>
        <xdr:cNvPr id="11" name="Picture 10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17176" y="224118"/>
          <a:ext cx="352425" cy="342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2</xdr:col>
      <xdr:colOff>56030</xdr:colOff>
      <xdr:row>18</xdr:row>
      <xdr:rowOff>45943</xdr:rowOff>
    </xdr:from>
    <xdr:to>
      <xdr:col>6</xdr:col>
      <xdr:colOff>160805</xdr:colOff>
      <xdr:row>19</xdr:row>
      <xdr:rowOff>188818</xdr:rowOff>
    </xdr:to>
    <xdr:pic macro="[0]!fCetakBukti">
      <xdr:nvPicPr>
        <xdr:cNvPr id="14" name="Picture 13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6265" y="3474943"/>
          <a:ext cx="2525246" cy="333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2</xdr:col>
      <xdr:colOff>44823</xdr:colOff>
      <xdr:row>7</xdr:row>
      <xdr:rowOff>112620</xdr:rowOff>
    </xdr:from>
    <xdr:to>
      <xdr:col>6</xdr:col>
      <xdr:colOff>149598</xdr:colOff>
      <xdr:row>9</xdr:row>
      <xdr:rowOff>66676</xdr:rowOff>
    </xdr:to>
    <xdr:pic macro="[0]!lapMtsKas">
      <xdr:nvPicPr>
        <xdr:cNvPr id="15" name="Picture 14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55058" y="1446120"/>
          <a:ext cx="2525246" cy="3350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2</xdr:col>
      <xdr:colOff>44824</xdr:colOff>
      <xdr:row>5</xdr:row>
      <xdr:rowOff>95250</xdr:rowOff>
    </xdr:from>
    <xdr:to>
      <xdr:col>6</xdr:col>
      <xdr:colOff>149599</xdr:colOff>
      <xdr:row>7</xdr:row>
      <xdr:rowOff>47625</xdr:rowOff>
    </xdr:to>
    <xdr:pic macro="[0]!LapDtTrn">
      <xdr:nvPicPr>
        <xdr:cNvPr id="16" name="Picture 15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55059" y="1047750"/>
          <a:ext cx="2525246" cy="333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44825</xdr:colOff>
      <xdr:row>13</xdr:row>
      <xdr:rowOff>183777</xdr:rowOff>
    </xdr:from>
    <xdr:to>
      <xdr:col>6</xdr:col>
      <xdr:colOff>159124</xdr:colOff>
      <xdr:row>15</xdr:row>
      <xdr:rowOff>136152</xdr:rowOff>
    </xdr:to>
    <xdr:pic macro="[0]!LapJsaBulan">
      <xdr:nvPicPr>
        <xdr:cNvPr id="17" name="Picture 16"/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55060" y="2660277"/>
          <a:ext cx="2534770" cy="333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33619</xdr:colOff>
      <xdr:row>11</xdr:row>
      <xdr:rowOff>159124</xdr:rowOff>
    </xdr:from>
    <xdr:to>
      <xdr:col>6</xdr:col>
      <xdr:colOff>147918</xdr:colOff>
      <xdr:row>13</xdr:row>
      <xdr:rowOff>111499</xdr:rowOff>
    </xdr:to>
    <xdr:pic macro="[0]!LapSimpMnsBulan">
      <xdr:nvPicPr>
        <xdr:cNvPr id="18" name="Picture 17"/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43854" y="2254624"/>
          <a:ext cx="2534770" cy="333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2</xdr:col>
      <xdr:colOff>56029</xdr:colOff>
      <xdr:row>9</xdr:row>
      <xdr:rowOff>136712</xdr:rowOff>
    </xdr:from>
    <xdr:to>
      <xdr:col>6</xdr:col>
      <xdr:colOff>160804</xdr:colOff>
      <xdr:row>11</xdr:row>
      <xdr:rowOff>89087</xdr:rowOff>
    </xdr:to>
    <xdr:pic macro="[0]!LapAngsBulan">
      <xdr:nvPicPr>
        <xdr:cNvPr id="20" name="Picture 19"/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6264" y="1851212"/>
          <a:ext cx="2525246" cy="333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2</xdr:col>
      <xdr:colOff>56030</xdr:colOff>
      <xdr:row>16</xdr:row>
      <xdr:rowOff>12887</xdr:rowOff>
    </xdr:from>
    <xdr:to>
      <xdr:col>6</xdr:col>
      <xdr:colOff>160805</xdr:colOff>
      <xdr:row>17</xdr:row>
      <xdr:rowOff>155762</xdr:rowOff>
    </xdr:to>
    <xdr:pic macro="[0]!LapSimpWjbBulan">
      <xdr:nvPicPr>
        <xdr:cNvPr id="21" name="Picture 20"/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6265" y="3060887"/>
          <a:ext cx="2525246" cy="333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168088</xdr:colOff>
      <xdr:row>1</xdr:row>
      <xdr:rowOff>11206</xdr:rowOff>
    </xdr:from>
    <xdr:to>
      <xdr:col>1</xdr:col>
      <xdr:colOff>520513</xdr:colOff>
      <xdr:row>2</xdr:row>
      <xdr:rowOff>163606</xdr:rowOff>
    </xdr:to>
    <xdr:pic macro="[0]!sMenu"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3206" y="201706"/>
          <a:ext cx="352425" cy="342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2</xdr:col>
      <xdr:colOff>145676</xdr:colOff>
      <xdr:row>0</xdr:row>
      <xdr:rowOff>100853</xdr:rowOff>
    </xdr:from>
    <xdr:to>
      <xdr:col>3</xdr:col>
      <xdr:colOff>460001</xdr:colOff>
      <xdr:row>5</xdr:row>
      <xdr:rowOff>72278</xdr:rowOff>
    </xdr:to>
    <xdr:pic macro="[0]!sDtTrn">
      <xdr:nvPicPr>
        <xdr:cNvPr id="3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5911" y="100853"/>
          <a:ext cx="919443" cy="923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2</xdr:col>
      <xdr:colOff>123265</xdr:colOff>
      <xdr:row>11</xdr:row>
      <xdr:rowOff>76760</xdr:rowOff>
    </xdr:from>
    <xdr:to>
      <xdr:col>3</xdr:col>
      <xdr:colOff>437590</xdr:colOff>
      <xdr:row>16</xdr:row>
      <xdr:rowOff>48185</xdr:rowOff>
    </xdr:to>
    <xdr:pic macro="[0]!lapSHU">
      <xdr:nvPicPr>
        <xdr:cNvPr id="4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0" y="2172260"/>
          <a:ext cx="919443" cy="923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2</xdr:col>
      <xdr:colOff>134470</xdr:colOff>
      <xdr:row>5</xdr:row>
      <xdr:rowOff>180976</xdr:rowOff>
    </xdr:from>
    <xdr:to>
      <xdr:col>3</xdr:col>
      <xdr:colOff>448794</xdr:colOff>
      <xdr:row>10</xdr:row>
      <xdr:rowOff>152401</xdr:rowOff>
    </xdr:to>
    <xdr:pic macro="[0]!fTutupPrd">
      <xdr:nvPicPr>
        <xdr:cNvPr id="5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4705" y="1133476"/>
          <a:ext cx="919442" cy="923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4</xdr:col>
      <xdr:colOff>44823</xdr:colOff>
      <xdr:row>5</xdr:row>
      <xdr:rowOff>179855</xdr:rowOff>
    </xdr:from>
    <xdr:to>
      <xdr:col>5</xdr:col>
      <xdr:colOff>359148</xdr:colOff>
      <xdr:row>10</xdr:row>
      <xdr:rowOff>151280</xdr:rowOff>
    </xdr:to>
    <xdr:pic macro="[0]!fKeluarNon">
      <xdr:nvPicPr>
        <xdr:cNvPr id="7" name="Picture 6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65294" y="1132355"/>
          <a:ext cx="919442" cy="923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4</xdr:col>
      <xdr:colOff>44824</xdr:colOff>
      <xdr:row>0</xdr:row>
      <xdr:rowOff>85165</xdr:rowOff>
    </xdr:from>
    <xdr:to>
      <xdr:col>5</xdr:col>
      <xdr:colOff>359149</xdr:colOff>
      <xdr:row>5</xdr:row>
      <xdr:rowOff>58271</xdr:rowOff>
    </xdr:to>
    <xdr:pic macro="[0]!fMasukNon">
      <xdr:nvPicPr>
        <xdr:cNvPr id="8" name="Picture 7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65295" y="85165"/>
          <a:ext cx="919442" cy="92560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4</xdr:col>
      <xdr:colOff>33617</xdr:colOff>
      <xdr:row>11</xdr:row>
      <xdr:rowOff>66675</xdr:rowOff>
    </xdr:from>
    <xdr:to>
      <xdr:col>5</xdr:col>
      <xdr:colOff>366993</xdr:colOff>
      <xdr:row>16</xdr:row>
      <xdr:rowOff>49306</xdr:rowOff>
    </xdr:to>
    <xdr:pic macro="[0]!fHapusTransaksi">
      <xdr:nvPicPr>
        <xdr:cNvPr id="30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/>
        <a:srcRect/>
        <a:stretch>
          <a:fillRect/>
        </a:stretch>
      </xdr:blipFill>
      <xdr:spPr bwMode="auto">
        <a:xfrm>
          <a:off x="2454088" y="2162175"/>
          <a:ext cx="938493" cy="935131"/>
        </a:xfrm>
        <a:prstGeom prst="rect">
          <a:avLst/>
        </a:prstGeom>
        <a:noFill/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44824</xdr:colOff>
      <xdr:row>0</xdr:row>
      <xdr:rowOff>33618</xdr:rowOff>
    </xdr:from>
    <xdr:to>
      <xdr:col>2</xdr:col>
      <xdr:colOff>397249</xdr:colOff>
      <xdr:row>1</xdr:row>
      <xdr:rowOff>152400</xdr:rowOff>
    </xdr:to>
    <xdr:pic macro="[0]!sMenu"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6559" y="33618"/>
          <a:ext cx="352425" cy="342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44824</xdr:colOff>
      <xdr:row>0</xdr:row>
      <xdr:rowOff>33618</xdr:rowOff>
    </xdr:from>
    <xdr:to>
      <xdr:col>2</xdr:col>
      <xdr:colOff>397249</xdr:colOff>
      <xdr:row>1</xdr:row>
      <xdr:rowOff>152400</xdr:rowOff>
    </xdr:to>
    <xdr:pic macro="[0]!sMenu"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45559" y="33618"/>
          <a:ext cx="352425" cy="342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308162</xdr:colOff>
      <xdr:row>0</xdr:row>
      <xdr:rowOff>35299</xdr:rowOff>
    </xdr:from>
    <xdr:to>
      <xdr:col>1</xdr:col>
      <xdr:colOff>660587</xdr:colOff>
      <xdr:row>1</xdr:row>
      <xdr:rowOff>154081</xdr:rowOff>
    </xdr:to>
    <xdr:pic macro="[0]!sMenu">
      <xdr:nvPicPr>
        <xdr:cNvPr id="5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07191" y="35299"/>
          <a:ext cx="352425" cy="342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697006</xdr:colOff>
      <xdr:row>0</xdr:row>
      <xdr:rowOff>34178</xdr:rowOff>
    </xdr:from>
    <xdr:to>
      <xdr:col>3</xdr:col>
      <xdr:colOff>310403</xdr:colOff>
      <xdr:row>1</xdr:row>
      <xdr:rowOff>162485</xdr:rowOff>
    </xdr:to>
    <xdr:pic macro="[0]!sTblAngs">
      <xdr:nvPicPr>
        <xdr:cNvPr id="1026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896035" y="34178"/>
          <a:ext cx="1204633" cy="352425"/>
        </a:xfrm>
        <a:prstGeom prst="rect">
          <a:avLst/>
        </a:prstGeom>
        <a:noFill/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22411</xdr:colOff>
      <xdr:row>0</xdr:row>
      <xdr:rowOff>44824</xdr:rowOff>
    </xdr:from>
    <xdr:to>
      <xdr:col>2</xdr:col>
      <xdr:colOff>374836</xdr:colOff>
      <xdr:row>1</xdr:row>
      <xdr:rowOff>163606</xdr:rowOff>
    </xdr:to>
    <xdr:pic macro="[0]!sMenu"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90382" y="44824"/>
          <a:ext cx="352425" cy="342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2</xdr:col>
      <xdr:colOff>451037</xdr:colOff>
      <xdr:row>0</xdr:row>
      <xdr:rowOff>31937</xdr:rowOff>
    </xdr:from>
    <xdr:to>
      <xdr:col>3</xdr:col>
      <xdr:colOff>539564</xdr:colOff>
      <xdr:row>1</xdr:row>
      <xdr:rowOff>160244</xdr:rowOff>
    </xdr:to>
    <xdr:pic macro="[0]!sDtPjm2">
      <xdr:nvPicPr>
        <xdr:cNvPr id="2050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919008" y="31937"/>
          <a:ext cx="1153085" cy="352425"/>
        </a:xfrm>
        <a:prstGeom prst="rect">
          <a:avLst/>
        </a:prstGeom>
        <a:noFill/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78441</xdr:colOff>
      <xdr:row>0</xdr:row>
      <xdr:rowOff>33618</xdr:rowOff>
    </xdr:from>
    <xdr:to>
      <xdr:col>1</xdr:col>
      <xdr:colOff>430866</xdr:colOff>
      <xdr:row>1</xdr:row>
      <xdr:rowOff>152400</xdr:rowOff>
    </xdr:to>
    <xdr:pic macro="[0]!sMenu"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3559" y="33618"/>
          <a:ext cx="352425" cy="342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455519</xdr:colOff>
      <xdr:row>0</xdr:row>
      <xdr:rowOff>29136</xdr:rowOff>
    </xdr:from>
    <xdr:to>
      <xdr:col>1</xdr:col>
      <xdr:colOff>1560979</xdr:colOff>
      <xdr:row>1</xdr:row>
      <xdr:rowOff>157443</xdr:rowOff>
    </xdr:to>
    <xdr:pic macro="[0]!resetData">
      <xdr:nvPicPr>
        <xdr:cNvPr id="1027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060637" y="29136"/>
          <a:ext cx="1105460" cy="352425"/>
        </a:xfrm>
        <a:prstGeom prst="rect">
          <a:avLst/>
        </a:prstGeom>
        <a:noFill/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201706</xdr:colOff>
      <xdr:row>0</xdr:row>
      <xdr:rowOff>0</xdr:rowOff>
    </xdr:from>
    <xdr:to>
      <xdr:col>12</xdr:col>
      <xdr:colOff>211230</xdr:colOff>
      <xdr:row>3</xdr:row>
      <xdr:rowOff>164165</xdr:rowOff>
    </xdr:to>
    <xdr:pic macro="[0]!cetakPrinter">
      <xdr:nvPicPr>
        <xdr:cNvPr id="512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751794" y="0"/>
          <a:ext cx="1219760" cy="567577"/>
        </a:xfrm>
        <a:prstGeom prst="rect">
          <a:avLst/>
        </a:prstGeom>
        <a:noFill/>
      </xdr:spPr>
    </xdr:pic>
    <xdr:clientData fPrintsWithSheet="0"/>
  </xdr:twoCellAnchor>
  <xdr:twoCellAnchor editAs="absolute">
    <xdr:from>
      <xdr:col>10</xdr:col>
      <xdr:colOff>224117</xdr:colOff>
      <xdr:row>4</xdr:row>
      <xdr:rowOff>44824</xdr:rowOff>
    </xdr:from>
    <xdr:to>
      <xdr:col>10</xdr:col>
      <xdr:colOff>576542</xdr:colOff>
      <xdr:row>6</xdr:row>
      <xdr:rowOff>107577</xdr:rowOff>
    </xdr:to>
    <xdr:pic macro="[0]!sMenu">
      <xdr:nvPicPr>
        <xdr:cNvPr id="7" name="Picture 6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74205" y="638736"/>
          <a:ext cx="352425" cy="342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twoCellAnchor>
  <xdr:twoCellAnchor>
    <xdr:from>
      <xdr:col>1</xdr:col>
      <xdr:colOff>44824</xdr:colOff>
      <xdr:row>1</xdr:row>
      <xdr:rowOff>11206</xdr:rowOff>
    </xdr:from>
    <xdr:to>
      <xdr:col>2</xdr:col>
      <xdr:colOff>619685</xdr:colOff>
      <xdr:row>5</xdr:row>
      <xdr:rowOff>59391</xdr:rowOff>
    </xdr:to>
    <xdr:pic>
      <xdr:nvPicPr>
        <xdr:cNvPr id="8" name="Picture 7" descr="logo_koperasi_lama_2015s.png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01706" y="100853"/>
          <a:ext cx="742950" cy="742950"/>
        </a:xfrm>
        <a:prstGeom prst="rect">
          <a:avLst/>
        </a:prstGeom>
      </xdr:spPr>
    </xdr:pic>
    <xdr:clientData/>
  </xdr:twoCellAnchor>
  <xdr:twoCellAnchor>
    <xdr:from>
      <xdr:col>1</xdr:col>
      <xdr:colOff>56030</xdr:colOff>
      <xdr:row>31</xdr:row>
      <xdr:rowOff>33618</xdr:rowOff>
    </xdr:from>
    <xdr:to>
      <xdr:col>2</xdr:col>
      <xdr:colOff>630891</xdr:colOff>
      <xdr:row>35</xdr:row>
      <xdr:rowOff>81803</xdr:rowOff>
    </xdr:to>
    <xdr:pic>
      <xdr:nvPicPr>
        <xdr:cNvPr id="9" name="Picture 8" descr="logo_koperasi_lama_2015s.png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12912" y="4605618"/>
          <a:ext cx="742950" cy="742950"/>
        </a:xfrm>
        <a:prstGeom prst="rect">
          <a:avLst/>
        </a:prstGeom>
      </xdr:spPr>
    </xdr:pic>
    <xdr:clientData/>
  </xdr:twoCellAnchor>
  <xdr:twoCellAnchor>
    <xdr:from>
      <xdr:col>1</xdr:col>
      <xdr:colOff>56030</xdr:colOff>
      <xdr:row>61</xdr:row>
      <xdr:rowOff>33619</xdr:rowOff>
    </xdr:from>
    <xdr:to>
      <xdr:col>2</xdr:col>
      <xdr:colOff>630891</xdr:colOff>
      <xdr:row>65</xdr:row>
      <xdr:rowOff>81804</xdr:rowOff>
    </xdr:to>
    <xdr:pic>
      <xdr:nvPicPr>
        <xdr:cNvPr id="10" name="Picture 9" descr="logo_koperasi_lama_2015s.png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12912" y="9087972"/>
          <a:ext cx="742950" cy="742950"/>
        </a:xfrm>
        <a:prstGeom prst="rect">
          <a:avLst/>
        </a:prstGeom>
      </xdr:spPr>
    </xdr:pic>
    <xdr:clientData/>
  </xdr:twoCellAnchor>
  <xdr:twoCellAnchor>
    <xdr:from>
      <xdr:col>1</xdr:col>
      <xdr:colOff>56030</xdr:colOff>
      <xdr:row>91</xdr:row>
      <xdr:rowOff>33618</xdr:rowOff>
    </xdr:from>
    <xdr:to>
      <xdr:col>2</xdr:col>
      <xdr:colOff>630891</xdr:colOff>
      <xdr:row>95</xdr:row>
      <xdr:rowOff>81803</xdr:rowOff>
    </xdr:to>
    <xdr:pic>
      <xdr:nvPicPr>
        <xdr:cNvPr id="11" name="Picture 10" descr="logo_koperasi_lama_2015s.png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12912" y="13671177"/>
          <a:ext cx="742950" cy="74295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201706</xdr:colOff>
      <xdr:row>0</xdr:row>
      <xdr:rowOff>0</xdr:rowOff>
    </xdr:from>
    <xdr:to>
      <xdr:col>12</xdr:col>
      <xdr:colOff>211230</xdr:colOff>
      <xdr:row>3</xdr:row>
      <xdr:rowOff>164165</xdr:rowOff>
    </xdr:to>
    <xdr:pic macro="[0]!cetakPrinter">
      <xdr:nvPicPr>
        <xdr:cNvPr id="6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755156" y="0"/>
          <a:ext cx="1228724" cy="564215"/>
        </a:xfrm>
        <a:prstGeom prst="rect">
          <a:avLst/>
        </a:prstGeom>
        <a:noFill/>
      </xdr:spPr>
    </xdr:pic>
    <xdr:clientData fPrintsWithSheet="0"/>
  </xdr:twoCellAnchor>
  <xdr:twoCellAnchor editAs="absolute">
    <xdr:from>
      <xdr:col>10</xdr:col>
      <xdr:colOff>224117</xdr:colOff>
      <xdr:row>4</xdr:row>
      <xdr:rowOff>44824</xdr:rowOff>
    </xdr:from>
    <xdr:to>
      <xdr:col>10</xdr:col>
      <xdr:colOff>576542</xdr:colOff>
      <xdr:row>6</xdr:row>
      <xdr:rowOff>107577</xdr:rowOff>
    </xdr:to>
    <xdr:pic macro="[0]!sMenu">
      <xdr:nvPicPr>
        <xdr:cNvPr id="7" name="Picture 6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77567" y="635374"/>
          <a:ext cx="352425" cy="338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twoCellAnchor>
  <xdr:twoCellAnchor>
    <xdr:from>
      <xdr:col>2</xdr:col>
      <xdr:colOff>0</xdr:colOff>
      <xdr:row>2</xdr:row>
      <xdr:rowOff>0</xdr:rowOff>
    </xdr:from>
    <xdr:to>
      <xdr:col>2</xdr:col>
      <xdr:colOff>636191</xdr:colOff>
      <xdr:row>5</xdr:row>
      <xdr:rowOff>23453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850" y="13563600"/>
          <a:ext cx="636191" cy="633053"/>
        </a:xfrm>
        <a:prstGeom prst="rect">
          <a:avLst/>
        </a:prstGeom>
        <a:noFill/>
        <a:ln w="19050"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F4:S26"/>
  <sheetViews>
    <sheetView showGridLines="0" tabSelected="1" topLeftCell="D1" zoomScale="85" zoomScaleNormal="85" workbookViewId="0">
      <selection activeCell="F5" sqref="F5:R9"/>
    </sheetView>
  </sheetViews>
  <sheetFormatPr defaultRowHeight="15"/>
  <sheetData>
    <row r="4" spans="6:19">
      <c r="F4" s="41"/>
      <c r="G4" s="41"/>
      <c r="H4" s="41"/>
      <c r="I4" s="41"/>
      <c r="J4" s="41"/>
      <c r="K4" s="41"/>
      <c r="L4" s="41"/>
      <c r="M4" s="41"/>
      <c r="N4" s="41"/>
      <c r="O4" s="41"/>
      <c r="P4" s="41"/>
    </row>
    <row r="5" spans="6:19">
      <c r="F5" s="73"/>
      <c r="G5" s="73"/>
      <c r="H5" s="177" t="s">
        <v>285</v>
      </c>
      <c r="I5" s="73"/>
      <c r="J5" s="73"/>
      <c r="K5" s="73"/>
      <c r="L5" s="73"/>
      <c r="M5" s="73"/>
      <c r="N5" s="73"/>
      <c r="O5" s="73"/>
      <c r="P5" s="73"/>
      <c r="Q5" s="73"/>
      <c r="R5" s="73"/>
    </row>
    <row r="6" spans="6:19" ht="16.5">
      <c r="F6" s="73"/>
      <c r="G6" s="73"/>
      <c r="H6" s="176" t="str">
        <f>Utilitas!B31</f>
        <v>KOPERASI SIMPAN PINJAM</v>
      </c>
      <c r="I6" s="73"/>
      <c r="J6" s="73"/>
      <c r="K6" s="73"/>
      <c r="L6" s="73"/>
      <c r="M6" s="73"/>
      <c r="N6" s="73"/>
      <c r="O6" s="73"/>
      <c r="P6" s="73"/>
      <c r="Q6" s="73"/>
      <c r="R6" s="73"/>
    </row>
    <row r="7" spans="6:19" ht="15.75">
      <c r="F7" s="73"/>
      <c r="G7" s="73"/>
      <c r="H7" s="73" t="str">
        <f>Utilitas!B32</f>
        <v>Jl KH. Utsman Kangkung</v>
      </c>
      <c r="I7" s="73"/>
      <c r="J7" s="73"/>
      <c r="K7" s="73"/>
      <c r="L7" s="73"/>
      <c r="M7" s="73"/>
      <c r="N7" s="73"/>
      <c r="O7" s="75" t="s">
        <v>122</v>
      </c>
      <c r="P7" s="74"/>
      <c r="Q7" s="75" t="s">
        <v>93</v>
      </c>
      <c r="R7" s="73"/>
      <c r="S7" s="61"/>
    </row>
    <row r="8" spans="6:19">
      <c r="F8" s="73"/>
      <c r="G8" s="73"/>
      <c r="H8" s="73" t="str">
        <f>Utilitas!B33</f>
        <v>0856 4159 4659</v>
      </c>
      <c r="I8" s="73"/>
      <c r="J8" s="73"/>
      <c r="K8" s="73"/>
      <c r="L8" s="73"/>
      <c r="M8" s="73"/>
      <c r="N8" s="73"/>
      <c r="O8" s="79">
        <f>Utilitas!C7</f>
        <v>201503</v>
      </c>
      <c r="P8" s="74"/>
      <c r="Q8" s="76" t="str">
        <f>Utilitas!C18</f>
        <v>Ahzizi</v>
      </c>
      <c r="R8" s="76"/>
      <c r="S8" s="61"/>
    </row>
    <row r="9" spans="6:19" ht="15.75" thickBot="1">
      <c r="F9" s="77"/>
      <c r="G9" s="77"/>
      <c r="H9" s="77"/>
      <c r="I9" s="77"/>
      <c r="J9" s="77"/>
      <c r="K9" s="77"/>
      <c r="L9" s="77"/>
      <c r="M9" s="77"/>
      <c r="N9" s="77"/>
      <c r="O9" s="77"/>
      <c r="P9" s="77"/>
      <c r="Q9" s="77"/>
      <c r="R9" s="77"/>
    </row>
    <row r="10" spans="6:19" s="61" customFormat="1" ht="15" customHeight="1" thickTop="1">
      <c r="F10" s="213" t="s">
        <v>2</v>
      </c>
      <c r="G10" s="213"/>
      <c r="H10" s="213"/>
      <c r="I10" s="213"/>
      <c r="J10" s="213"/>
      <c r="K10" s="213"/>
      <c r="L10" s="213"/>
      <c r="M10" s="221" t="s">
        <v>1</v>
      </c>
      <c r="N10" s="221"/>
      <c r="O10" s="221"/>
      <c r="P10" s="221"/>
      <c r="Q10" s="60"/>
      <c r="R10" s="60"/>
    </row>
    <row r="11" spans="6:19" s="61" customFormat="1" ht="15" customHeight="1">
      <c r="F11" s="213"/>
      <c r="G11" s="213"/>
      <c r="H11" s="213"/>
      <c r="I11" s="213"/>
      <c r="J11" s="213"/>
      <c r="K11" s="213"/>
      <c r="L11" s="213"/>
      <c r="M11" s="221"/>
      <c r="N11" s="221"/>
      <c r="O11" s="221"/>
      <c r="P11" s="221"/>
      <c r="Q11" s="217">
        <f ca="1">+DAY(TODAY())</f>
        <v>8</v>
      </c>
      <c r="R11" s="217"/>
    </row>
    <row r="12" spans="6:19" s="61" customFormat="1" ht="15" customHeight="1">
      <c r="F12" s="59"/>
      <c r="G12" s="59"/>
      <c r="H12" s="59"/>
      <c r="I12" s="59"/>
      <c r="J12" s="59"/>
      <c r="K12" s="59"/>
      <c r="L12" s="59"/>
      <c r="M12" s="62"/>
      <c r="N12" s="62"/>
      <c r="O12" s="62"/>
      <c r="P12" s="62"/>
      <c r="Q12" s="217"/>
      <c r="R12" s="217"/>
    </row>
    <row r="13" spans="6:19" s="61" customFormat="1" ht="15" customHeight="1">
      <c r="F13" s="59"/>
      <c r="G13" s="59"/>
      <c r="H13" s="59"/>
      <c r="I13" s="59"/>
      <c r="J13" s="59"/>
      <c r="K13" s="59"/>
      <c r="L13" s="59"/>
      <c r="M13" s="62"/>
      <c r="N13" s="62"/>
      <c r="O13" s="62"/>
      <c r="P13" s="62"/>
      <c r="Q13" s="218" t="str">
        <f ca="1">TEXT(TODAY(),"mmmm")</f>
        <v>December</v>
      </c>
      <c r="R13" s="218"/>
    </row>
    <row r="14" spans="6:19" s="61" customFormat="1" ht="15" customHeight="1">
      <c r="F14" s="59"/>
      <c r="G14" s="59"/>
      <c r="H14" s="59"/>
      <c r="I14" s="59"/>
      <c r="J14" s="59"/>
      <c r="K14" s="59"/>
      <c r="L14" s="59"/>
      <c r="M14" s="62"/>
      <c r="N14" s="62"/>
      <c r="O14" s="62"/>
      <c r="P14" s="62"/>
      <c r="Q14" s="218"/>
      <c r="R14" s="218"/>
    </row>
    <row r="15" spans="6:19" s="61" customFormat="1" ht="15" customHeight="1">
      <c r="F15" s="59"/>
      <c r="G15" s="59"/>
      <c r="H15" s="59"/>
      <c r="I15" s="59"/>
      <c r="J15" s="59"/>
      <c r="K15" s="59"/>
      <c r="L15" s="59"/>
      <c r="M15" s="62"/>
      <c r="N15" s="62"/>
      <c r="O15" s="62"/>
      <c r="P15" s="62"/>
      <c r="Q15" s="219">
        <f ca="1">YEAR(TODAY())</f>
        <v>2021</v>
      </c>
      <c r="R15" s="219"/>
    </row>
    <row r="16" spans="6:19" s="61" customFormat="1" ht="15" customHeight="1">
      <c r="F16" s="59"/>
      <c r="G16" s="59"/>
      <c r="H16" s="59"/>
      <c r="I16" s="59"/>
      <c r="J16" s="59"/>
      <c r="K16" s="59"/>
      <c r="L16" s="59"/>
      <c r="M16" s="62"/>
      <c r="N16" s="62"/>
      <c r="O16" s="62"/>
      <c r="P16" s="62"/>
      <c r="Q16" s="219"/>
      <c r="R16" s="219"/>
    </row>
    <row r="17" spans="6:18" s="61" customFormat="1" ht="15" customHeight="1" thickBot="1">
      <c r="F17" s="65"/>
      <c r="G17" s="65"/>
      <c r="H17" s="65"/>
      <c r="I17" s="65"/>
      <c r="J17" s="65"/>
      <c r="K17" s="65"/>
      <c r="L17" s="65"/>
      <c r="M17" s="66"/>
      <c r="N17" s="66"/>
      <c r="O17" s="66"/>
      <c r="P17" s="66"/>
      <c r="Q17" s="67"/>
      <c r="R17" s="67"/>
    </row>
    <row r="18" spans="6:18" s="61" customFormat="1" ht="15" customHeight="1" thickTop="1">
      <c r="F18" s="215" t="s">
        <v>0</v>
      </c>
      <c r="G18" s="215"/>
      <c r="H18" s="215"/>
      <c r="I18" s="215"/>
      <c r="J18" s="215"/>
      <c r="K18" s="215"/>
      <c r="L18" s="215"/>
      <c r="M18" s="216" t="s">
        <v>81</v>
      </c>
      <c r="N18" s="216"/>
      <c r="O18" s="214" t="s">
        <v>3</v>
      </c>
      <c r="P18" s="214"/>
      <c r="Q18" s="220" t="s">
        <v>4</v>
      </c>
      <c r="R18" s="220"/>
    </row>
    <row r="19" spans="6:18" s="61" customFormat="1" ht="15" customHeight="1">
      <c r="F19" s="215"/>
      <c r="G19" s="215"/>
      <c r="H19" s="215"/>
      <c r="I19" s="215"/>
      <c r="J19" s="215"/>
      <c r="K19" s="215"/>
      <c r="L19" s="215"/>
      <c r="M19" s="216"/>
      <c r="N19" s="216"/>
      <c r="O19" s="214"/>
      <c r="P19" s="214"/>
      <c r="Q19" s="220"/>
      <c r="R19" s="220"/>
    </row>
    <row r="20" spans="6:18" s="61" customFormat="1">
      <c r="F20" s="58"/>
      <c r="G20" s="58"/>
      <c r="H20" s="58"/>
      <c r="I20" s="58"/>
      <c r="J20" s="58"/>
      <c r="K20" s="58"/>
      <c r="L20" s="58"/>
      <c r="M20" s="63"/>
      <c r="N20" s="63"/>
      <c r="O20" s="64"/>
      <c r="P20" s="64"/>
      <c r="Q20" s="57"/>
      <c r="R20" s="57"/>
    </row>
    <row r="21" spans="6:18" s="61" customFormat="1">
      <c r="F21" s="58"/>
      <c r="G21" s="58"/>
      <c r="H21" s="58"/>
      <c r="I21" s="58"/>
      <c r="J21" s="58"/>
      <c r="K21" s="58"/>
      <c r="L21" s="58"/>
      <c r="M21" s="63"/>
      <c r="N21" s="63"/>
      <c r="O21" s="64"/>
      <c r="P21" s="64"/>
      <c r="Q21" s="57"/>
      <c r="R21" s="57"/>
    </row>
    <row r="22" spans="6:18" s="61" customFormat="1">
      <c r="F22" s="58"/>
      <c r="G22" s="58"/>
      <c r="H22" s="58"/>
      <c r="I22" s="58"/>
      <c r="J22" s="58"/>
      <c r="K22" s="58"/>
      <c r="L22" s="58"/>
      <c r="M22" s="63"/>
      <c r="N22" s="63"/>
      <c r="O22" s="64"/>
      <c r="P22" s="64"/>
      <c r="Q22" s="57"/>
      <c r="R22" s="57"/>
    </row>
    <row r="23" spans="6:18" s="61" customFormat="1">
      <c r="F23" s="58"/>
      <c r="G23" s="58"/>
      <c r="H23" s="58"/>
      <c r="I23" s="58"/>
      <c r="J23" s="58"/>
      <c r="K23" s="58"/>
      <c r="L23" s="58"/>
      <c r="M23" s="63"/>
      <c r="N23" s="63"/>
      <c r="O23" s="64"/>
      <c r="P23" s="64"/>
      <c r="Q23" s="57"/>
      <c r="R23" s="57"/>
    </row>
    <row r="24" spans="6:18" s="61" customFormat="1">
      <c r="F24" s="58"/>
      <c r="G24" s="58"/>
      <c r="H24" s="58"/>
      <c r="I24" s="58"/>
      <c r="J24" s="58"/>
      <c r="K24" s="58"/>
      <c r="L24" s="58"/>
      <c r="M24" s="63"/>
      <c r="N24" s="63"/>
      <c r="O24" s="64"/>
      <c r="P24" s="64"/>
      <c r="Q24" s="57"/>
      <c r="R24" s="57"/>
    </row>
    <row r="25" spans="6:18" s="61" customFormat="1" ht="15.75" thickBot="1">
      <c r="F25" s="71"/>
      <c r="G25" s="71"/>
      <c r="H25" s="71"/>
      <c r="I25" s="71"/>
      <c r="J25" s="71"/>
      <c r="K25" s="71"/>
      <c r="L25" s="71"/>
      <c r="M25" s="70"/>
      <c r="N25" s="70"/>
      <c r="O25" s="69"/>
      <c r="P25" s="69"/>
      <c r="Q25" s="68"/>
      <c r="R25" s="68"/>
    </row>
    <row r="26" spans="6:18" ht="15.75" thickTop="1"/>
  </sheetData>
  <sheetProtection selectLockedCells="1"/>
  <mergeCells count="9">
    <mergeCell ref="F10:L11"/>
    <mergeCell ref="O18:P19"/>
    <mergeCell ref="F18:L19"/>
    <mergeCell ref="M18:N19"/>
    <mergeCell ref="Q11:R12"/>
    <mergeCell ref="Q13:R14"/>
    <mergeCell ref="Q15:R16"/>
    <mergeCell ref="Q18:R19"/>
    <mergeCell ref="M10:P11"/>
  </mergeCells>
  <pageMargins left="0.7" right="0.7" top="0.75" bottom="0.75" header="0.3" footer="0.3"/>
  <pageSetup paperSize="9" orientation="portrait" horizontalDpi="200" verticalDpi="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G23"/>
  <sheetViews>
    <sheetView showGridLines="0" zoomScale="85" zoomScaleNormal="85" workbookViewId="0">
      <selection activeCell="J9" sqref="J9"/>
    </sheetView>
  </sheetViews>
  <sheetFormatPr defaultRowHeight="15"/>
  <sheetData>
    <row r="1" spans="2:7">
      <c r="B1" s="72"/>
      <c r="C1" s="72"/>
      <c r="D1" s="72"/>
      <c r="E1" s="72"/>
      <c r="F1" s="72"/>
      <c r="G1" s="72"/>
    </row>
    <row r="2" spans="2:7">
      <c r="B2" s="72"/>
      <c r="C2" s="72"/>
      <c r="D2" s="72"/>
      <c r="E2" s="72"/>
      <c r="F2" s="72"/>
      <c r="G2" s="72"/>
    </row>
    <row r="3" spans="2:7">
      <c r="B3" s="72"/>
      <c r="C3" s="72"/>
      <c r="D3" s="72"/>
      <c r="E3" s="72"/>
      <c r="F3" s="72"/>
      <c r="G3" s="72"/>
    </row>
    <row r="4" spans="2:7">
      <c r="B4" s="72"/>
      <c r="C4" s="72"/>
      <c r="D4" s="72"/>
      <c r="E4" s="72"/>
      <c r="F4" s="72"/>
      <c r="G4" s="72"/>
    </row>
    <row r="5" spans="2:7">
      <c r="B5" s="72"/>
      <c r="C5" s="72"/>
      <c r="D5" s="72"/>
      <c r="E5" s="72"/>
      <c r="F5" s="72"/>
      <c r="G5" s="72"/>
    </row>
    <row r="6" spans="2:7">
      <c r="B6" s="72"/>
      <c r="C6" s="72"/>
      <c r="D6" s="72"/>
      <c r="E6" s="72"/>
      <c r="F6" s="72"/>
      <c r="G6" s="72"/>
    </row>
    <row r="7" spans="2:7">
      <c r="B7" s="72"/>
      <c r="C7" s="72"/>
      <c r="D7" s="72"/>
      <c r="E7" s="72"/>
      <c r="F7" s="72"/>
      <c r="G7" s="72"/>
    </row>
    <row r="8" spans="2:7">
      <c r="B8" s="72"/>
      <c r="C8" s="72"/>
      <c r="D8" s="72"/>
      <c r="E8" s="72"/>
      <c r="F8" s="72"/>
      <c r="G8" s="72"/>
    </row>
    <row r="9" spans="2:7">
      <c r="B9" s="72"/>
      <c r="C9" s="72"/>
      <c r="D9" s="72"/>
      <c r="E9" s="72"/>
      <c r="F9" s="72"/>
      <c r="G9" s="72"/>
    </row>
    <row r="10" spans="2:7">
      <c r="B10" s="72"/>
      <c r="C10" s="72"/>
      <c r="D10" s="72"/>
      <c r="E10" s="72"/>
      <c r="F10" s="72"/>
      <c r="G10" s="72"/>
    </row>
    <row r="11" spans="2:7">
      <c r="B11" s="72"/>
      <c r="C11" s="72"/>
      <c r="D11" s="72"/>
      <c r="E11" s="72"/>
      <c r="F11" s="72"/>
      <c r="G11" s="72"/>
    </row>
    <row r="12" spans="2:7">
      <c r="B12" s="72"/>
      <c r="C12" s="72"/>
      <c r="D12" s="72"/>
      <c r="E12" s="72"/>
      <c r="F12" s="72"/>
      <c r="G12" s="72"/>
    </row>
    <row r="13" spans="2:7">
      <c r="B13" s="72"/>
      <c r="C13" s="72"/>
      <c r="D13" s="72"/>
      <c r="E13" s="72"/>
      <c r="F13" s="72"/>
      <c r="G13" s="72"/>
    </row>
    <row r="14" spans="2:7">
      <c r="B14" s="72"/>
      <c r="C14" s="72"/>
      <c r="D14" s="72"/>
      <c r="E14" s="72"/>
      <c r="F14" s="72"/>
      <c r="G14" s="72"/>
    </row>
    <row r="15" spans="2:7">
      <c r="B15" s="72"/>
      <c r="C15" s="72"/>
      <c r="D15" s="72"/>
      <c r="E15" s="72"/>
      <c r="F15" s="72"/>
      <c r="G15" s="72"/>
    </row>
    <row r="16" spans="2:7">
      <c r="B16" s="72"/>
      <c r="C16" s="72"/>
      <c r="D16" s="72"/>
      <c r="E16" s="72"/>
      <c r="F16" s="72"/>
      <c r="G16" s="72"/>
    </row>
    <row r="17" spans="2:7">
      <c r="B17" s="72"/>
      <c r="C17" s="72"/>
      <c r="D17" s="72"/>
      <c r="E17" s="72"/>
      <c r="F17" s="72"/>
      <c r="G17" s="72"/>
    </row>
    <row r="18" spans="2:7">
      <c r="B18" s="72"/>
      <c r="C18" s="72"/>
      <c r="D18" s="72"/>
      <c r="E18" s="72"/>
      <c r="F18" s="72"/>
      <c r="G18" s="72"/>
    </row>
    <row r="19" spans="2:7">
      <c r="B19" s="72"/>
      <c r="C19" s="72"/>
      <c r="D19" s="72"/>
      <c r="E19" s="72"/>
      <c r="F19" s="72"/>
      <c r="G19" s="72"/>
    </row>
    <row r="20" spans="2:7">
      <c r="B20" s="72"/>
      <c r="C20" s="72"/>
      <c r="D20" s="72"/>
      <c r="E20" s="72"/>
      <c r="F20" s="72"/>
      <c r="G20" s="72"/>
    </row>
    <row r="21" spans="2:7">
      <c r="B21" s="72"/>
      <c r="C21" s="72"/>
      <c r="D21" s="72"/>
      <c r="E21" s="72"/>
      <c r="F21" s="72"/>
      <c r="G21" s="72"/>
    </row>
    <row r="22" spans="2:7" ht="15.75" thickBot="1">
      <c r="B22" s="70"/>
      <c r="C22" s="70"/>
      <c r="D22" s="70"/>
      <c r="E22" s="70"/>
      <c r="F22" s="70"/>
      <c r="G22" s="70"/>
    </row>
    <row r="23" spans="2:7" ht="15.75" thickTop="1"/>
  </sheetData>
  <sheetProtection selectLockedCells="1"/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B1:F18"/>
  <sheetViews>
    <sheetView zoomScale="85" zoomScaleNormal="85" workbookViewId="0">
      <selection activeCell="F24" sqref="F24"/>
    </sheetView>
  </sheetViews>
  <sheetFormatPr defaultRowHeight="15"/>
  <sheetData>
    <row r="1" spans="2:6">
      <c r="B1" s="64"/>
      <c r="C1" s="64"/>
      <c r="D1" s="64"/>
      <c r="E1" s="64"/>
      <c r="F1" s="64"/>
    </row>
    <row r="2" spans="2:6">
      <c r="B2" s="64"/>
      <c r="C2" s="64"/>
      <c r="D2" s="64"/>
      <c r="E2" s="64"/>
      <c r="F2" s="64"/>
    </row>
    <row r="3" spans="2:6">
      <c r="B3" s="64"/>
      <c r="C3" s="64"/>
      <c r="D3" s="64"/>
      <c r="E3" s="64"/>
      <c r="F3" s="64"/>
    </row>
    <row r="4" spans="2:6">
      <c r="B4" s="64"/>
      <c r="C4" s="64"/>
      <c r="D4" s="64"/>
      <c r="E4" s="64"/>
      <c r="F4" s="64"/>
    </row>
    <row r="5" spans="2:6">
      <c r="B5" s="64"/>
      <c r="C5" s="64"/>
      <c r="D5" s="64"/>
      <c r="E5" s="64"/>
      <c r="F5" s="64"/>
    </row>
    <row r="6" spans="2:6">
      <c r="B6" s="64"/>
      <c r="C6" s="64"/>
      <c r="D6" s="64"/>
      <c r="E6" s="64"/>
      <c r="F6" s="64"/>
    </row>
    <row r="7" spans="2:6">
      <c r="B7" s="64"/>
      <c r="C7" s="64"/>
      <c r="D7" s="64"/>
      <c r="E7" s="64"/>
      <c r="F7" s="64"/>
    </row>
    <row r="8" spans="2:6">
      <c r="B8" s="64"/>
      <c r="C8" s="64"/>
      <c r="D8" s="64"/>
      <c r="E8" s="64"/>
      <c r="F8" s="64"/>
    </row>
    <row r="9" spans="2:6">
      <c r="B9" s="64"/>
      <c r="C9" s="64"/>
      <c r="D9" s="64"/>
      <c r="E9" s="64"/>
      <c r="F9" s="64"/>
    </row>
    <row r="10" spans="2:6">
      <c r="B10" s="64"/>
      <c r="C10" s="64"/>
      <c r="D10" s="64"/>
      <c r="E10" s="64"/>
      <c r="F10" s="64"/>
    </row>
    <row r="11" spans="2:6">
      <c r="B11" s="64"/>
      <c r="C11" s="64"/>
      <c r="D11" s="64"/>
      <c r="E11" s="64"/>
      <c r="F11" s="64"/>
    </row>
    <row r="12" spans="2:6">
      <c r="B12" s="64"/>
      <c r="C12" s="64"/>
      <c r="D12" s="64"/>
      <c r="E12" s="64"/>
      <c r="F12" s="64"/>
    </row>
    <row r="13" spans="2:6">
      <c r="B13" s="64"/>
      <c r="C13" s="64"/>
      <c r="D13" s="64"/>
      <c r="E13" s="64"/>
      <c r="F13" s="64"/>
    </row>
    <row r="14" spans="2:6">
      <c r="B14" s="64"/>
      <c r="C14" s="64"/>
      <c r="D14" s="64"/>
      <c r="E14" s="64"/>
      <c r="F14" s="64"/>
    </row>
    <row r="15" spans="2:6">
      <c r="B15" s="64"/>
      <c r="C15" s="64"/>
      <c r="D15" s="64"/>
      <c r="E15" s="64"/>
      <c r="F15" s="64"/>
    </row>
    <row r="16" spans="2:6">
      <c r="B16" s="64"/>
      <c r="C16" s="64"/>
      <c r="D16" s="64"/>
      <c r="E16" s="64"/>
      <c r="F16" s="64"/>
    </row>
    <row r="17" spans="2:6" ht="15.75" thickBot="1">
      <c r="B17" s="69"/>
      <c r="C17" s="69"/>
      <c r="D17" s="69"/>
      <c r="E17" s="69"/>
      <c r="F17" s="69"/>
    </row>
    <row r="18" spans="2:6" ht="15.75" thickTop="1"/>
  </sheetData>
  <sheetProtection selectLockedCells="1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P26"/>
  <sheetViews>
    <sheetView zoomScale="85" zoomScaleNormal="85" workbookViewId="0">
      <selection activeCell="D23" sqref="D23"/>
    </sheetView>
  </sheetViews>
  <sheetFormatPr defaultRowHeight="15"/>
  <cols>
    <col min="1" max="1" width="15.7109375" customWidth="1"/>
    <col min="2" max="2" width="11" style="2" customWidth="1"/>
    <col min="3" max="3" width="37.5703125" bestFit="1" customWidth="1"/>
    <col min="4" max="4" width="11.5703125" style="3" bestFit="1" customWidth="1"/>
    <col min="5" max="5" width="10" customWidth="1"/>
    <col min="6" max="6" width="7.85546875" customWidth="1"/>
    <col min="8" max="8" width="10.85546875" bestFit="1" customWidth="1"/>
    <col min="9" max="9" width="9.140625" style="3" customWidth="1"/>
    <col min="10" max="10" width="13.28515625" style="3" customWidth="1"/>
    <col min="11" max="11" width="17.7109375" style="3" customWidth="1"/>
    <col min="12" max="12" width="11.5703125" style="3" customWidth="1"/>
    <col min="13" max="13" width="11.5703125" style="3" bestFit="1" customWidth="1"/>
    <col min="14" max="14" width="9" style="3" customWidth="1"/>
    <col min="15" max="15" width="11.5703125" style="3" bestFit="1" customWidth="1"/>
  </cols>
  <sheetData>
    <row r="1" spans="1:16" ht="18">
      <c r="A1" s="1" t="s">
        <v>31</v>
      </c>
      <c r="H1" s="2"/>
    </row>
    <row r="2" spans="1:16" ht="15.75" thickBot="1">
      <c r="A2" s="42"/>
    </row>
    <row r="3" spans="1:16" s="44" customFormat="1">
      <c r="A3" s="48" t="s">
        <v>84</v>
      </c>
      <c r="B3" s="49" t="s">
        <v>32</v>
      </c>
      <c r="C3" s="48" t="s">
        <v>6</v>
      </c>
      <c r="D3" s="50" t="s">
        <v>33</v>
      </c>
      <c r="E3" s="48" t="s">
        <v>83</v>
      </c>
      <c r="F3" s="48" t="s">
        <v>34</v>
      </c>
      <c r="G3" s="48" t="s">
        <v>14</v>
      </c>
      <c r="H3" s="48" t="s">
        <v>69</v>
      </c>
      <c r="I3" s="50" t="s">
        <v>24</v>
      </c>
      <c r="J3" s="50" t="s">
        <v>25</v>
      </c>
      <c r="K3" s="50" t="s">
        <v>70</v>
      </c>
      <c r="L3" s="50" t="s">
        <v>0</v>
      </c>
      <c r="M3" s="50" t="s">
        <v>71</v>
      </c>
      <c r="N3" s="50" t="s">
        <v>72</v>
      </c>
      <c r="O3" s="50" t="s">
        <v>73</v>
      </c>
      <c r="P3" s="48" t="s">
        <v>74</v>
      </c>
    </row>
    <row r="4" spans="1:16">
      <c r="A4" t="s">
        <v>145</v>
      </c>
      <c r="B4" s="2">
        <v>42030</v>
      </c>
      <c r="C4" t="s">
        <v>146</v>
      </c>
      <c r="D4" s="3">
        <v>130000</v>
      </c>
      <c r="E4">
        <v>1</v>
      </c>
      <c r="F4" t="s">
        <v>147</v>
      </c>
      <c r="G4">
        <v>201501</v>
      </c>
      <c r="H4" t="s">
        <v>141</v>
      </c>
      <c r="I4" s="3">
        <v>100000</v>
      </c>
      <c r="J4" s="3">
        <v>30000</v>
      </c>
      <c r="K4" s="3">
        <v>0</v>
      </c>
      <c r="L4" s="3">
        <v>0</v>
      </c>
      <c r="M4" s="3">
        <v>0</v>
      </c>
      <c r="N4" s="3">
        <v>0</v>
      </c>
      <c r="O4" s="3">
        <v>0</v>
      </c>
    </row>
    <row r="5" spans="1:16">
      <c r="A5" t="s">
        <v>150</v>
      </c>
      <c r="B5" s="2">
        <v>42030</v>
      </c>
      <c r="C5" t="s">
        <v>146</v>
      </c>
      <c r="D5" s="3">
        <v>100000</v>
      </c>
      <c r="E5">
        <v>2</v>
      </c>
      <c r="F5" t="s">
        <v>147</v>
      </c>
      <c r="G5">
        <v>201501</v>
      </c>
      <c r="H5" t="s">
        <v>141</v>
      </c>
      <c r="I5" s="3">
        <v>100000</v>
      </c>
      <c r="J5" s="3">
        <v>0</v>
      </c>
      <c r="K5" s="3">
        <v>0</v>
      </c>
      <c r="L5" s="3">
        <v>0</v>
      </c>
      <c r="M5" s="3">
        <v>0</v>
      </c>
      <c r="N5" s="3">
        <v>0</v>
      </c>
      <c r="O5" s="3">
        <v>0</v>
      </c>
    </row>
    <row r="6" spans="1:16">
      <c r="A6" t="s">
        <v>193</v>
      </c>
      <c r="B6" s="2">
        <v>42030</v>
      </c>
      <c r="C6" t="s">
        <v>186</v>
      </c>
      <c r="D6" s="3">
        <v>40000</v>
      </c>
      <c r="E6">
        <v>2</v>
      </c>
      <c r="F6" t="s">
        <v>147</v>
      </c>
      <c r="G6">
        <v>201501</v>
      </c>
      <c r="H6" t="s">
        <v>141</v>
      </c>
      <c r="I6" s="3">
        <v>0</v>
      </c>
      <c r="J6" s="3">
        <v>30000</v>
      </c>
      <c r="K6" s="3">
        <v>10000</v>
      </c>
      <c r="L6" s="3">
        <v>0</v>
      </c>
      <c r="M6" s="3">
        <v>0</v>
      </c>
      <c r="N6" s="3">
        <v>0</v>
      </c>
      <c r="O6" s="3">
        <v>0</v>
      </c>
    </row>
    <row r="7" spans="1:16">
      <c r="A7" t="s">
        <v>194</v>
      </c>
      <c r="B7" s="2">
        <v>42030</v>
      </c>
      <c r="C7" t="s">
        <v>186</v>
      </c>
      <c r="D7" s="3">
        <v>150000</v>
      </c>
      <c r="E7">
        <v>1</v>
      </c>
      <c r="F7" t="s">
        <v>147</v>
      </c>
      <c r="G7">
        <v>201501</v>
      </c>
      <c r="H7" t="s">
        <v>141</v>
      </c>
      <c r="I7" s="3">
        <v>0</v>
      </c>
      <c r="J7" s="3">
        <v>30000</v>
      </c>
      <c r="K7" s="3">
        <v>120000</v>
      </c>
      <c r="L7" s="3">
        <v>0</v>
      </c>
      <c r="M7" s="3">
        <v>0</v>
      </c>
      <c r="N7" s="3">
        <v>0</v>
      </c>
      <c r="O7" s="3">
        <v>0</v>
      </c>
    </row>
    <row r="8" spans="1:16">
      <c r="A8" t="s">
        <v>151</v>
      </c>
      <c r="B8" s="2">
        <v>42030</v>
      </c>
      <c r="C8" t="s">
        <v>146</v>
      </c>
      <c r="D8" s="3">
        <v>220000</v>
      </c>
      <c r="E8">
        <v>3</v>
      </c>
      <c r="F8" t="s">
        <v>147</v>
      </c>
      <c r="G8">
        <v>201501</v>
      </c>
      <c r="H8" t="s">
        <v>141</v>
      </c>
      <c r="I8" s="3">
        <v>100000</v>
      </c>
      <c r="J8" s="3">
        <v>30000</v>
      </c>
      <c r="K8" s="3">
        <v>90000</v>
      </c>
      <c r="L8" s="3">
        <v>0</v>
      </c>
      <c r="M8" s="3">
        <v>0</v>
      </c>
      <c r="N8" s="3">
        <v>0</v>
      </c>
      <c r="O8" s="3">
        <v>0</v>
      </c>
    </row>
    <row r="9" spans="1:16">
      <c r="A9" t="s">
        <v>197</v>
      </c>
      <c r="B9" s="2">
        <v>42030</v>
      </c>
      <c r="C9" t="s">
        <v>152</v>
      </c>
      <c r="D9" s="3">
        <v>10000000</v>
      </c>
      <c r="E9">
        <v>3</v>
      </c>
      <c r="F9" t="s">
        <v>153</v>
      </c>
      <c r="G9">
        <v>201501</v>
      </c>
      <c r="H9" t="s">
        <v>141</v>
      </c>
      <c r="I9" s="3">
        <v>0</v>
      </c>
      <c r="J9" s="3">
        <v>0</v>
      </c>
      <c r="K9" s="3">
        <v>0</v>
      </c>
      <c r="L9" s="3">
        <v>10000000</v>
      </c>
      <c r="M9" s="3">
        <v>0</v>
      </c>
      <c r="N9" s="3">
        <v>0</v>
      </c>
      <c r="O9" s="3">
        <v>0</v>
      </c>
    </row>
    <row r="10" spans="1:16">
      <c r="A10" t="s">
        <v>198</v>
      </c>
      <c r="B10" s="2">
        <v>42030</v>
      </c>
      <c r="C10" t="s">
        <v>152</v>
      </c>
      <c r="D10" s="3">
        <v>10000000</v>
      </c>
      <c r="E10">
        <v>2</v>
      </c>
      <c r="F10" t="s">
        <v>153</v>
      </c>
      <c r="G10">
        <v>201501</v>
      </c>
      <c r="H10" t="s">
        <v>141</v>
      </c>
      <c r="I10" s="3">
        <v>0</v>
      </c>
      <c r="J10" s="3">
        <v>0</v>
      </c>
      <c r="K10" s="3">
        <v>0</v>
      </c>
      <c r="L10" s="3">
        <v>10000000</v>
      </c>
      <c r="M10" s="3">
        <v>0</v>
      </c>
      <c r="N10" s="3">
        <v>0</v>
      </c>
      <c r="O10" s="3">
        <v>0</v>
      </c>
    </row>
    <row r="11" spans="1:16">
      <c r="A11" t="s">
        <v>199</v>
      </c>
      <c r="B11" s="2">
        <v>42030</v>
      </c>
      <c r="C11" t="s">
        <v>200</v>
      </c>
      <c r="D11" s="3">
        <v>2000000</v>
      </c>
      <c r="E11">
        <v>2</v>
      </c>
      <c r="F11" t="s">
        <v>147</v>
      </c>
      <c r="G11">
        <v>201501</v>
      </c>
      <c r="H11" t="s">
        <v>141</v>
      </c>
      <c r="I11" s="3">
        <v>0</v>
      </c>
      <c r="J11" s="3">
        <v>0</v>
      </c>
      <c r="K11" s="3">
        <v>0</v>
      </c>
      <c r="L11" s="3">
        <v>0</v>
      </c>
      <c r="M11" s="3">
        <v>2000000</v>
      </c>
      <c r="N11" s="3">
        <v>0</v>
      </c>
      <c r="O11" s="3">
        <v>0</v>
      </c>
    </row>
    <row r="12" spans="1:16">
      <c r="A12" t="s">
        <v>202</v>
      </c>
      <c r="B12" s="2">
        <v>42030</v>
      </c>
      <c r="C12" t="s">
        <v>203</v>
      </c>
      <c r="D12" s="3">
        <v>50000000</v>
      </c>
      <c r="E12">
        <v>0</v>
      </c>
      <c r="F12" t="s">
        <v>147</v>
      </c>
      <c r="G12">
        <v>201501</v>
      </c>
      <c r="H12" t="s">
        <v>141</v>
      </c>
      <c r="I12" s="3">
        <v>0</v>
      </c>
      <c r="J12" s="3">
        <v>0</v>
      </c>
      <c r="K12" s="3">
        <v>0</v>
      </c>
      <c r="L12" s="3">
        <v>0</v>
      </c>
      <c r="M12" s="3">
        <v>0</v>
      </c>
      <c r="N12" s="3">
        <v>0</v>
      </c>
      <c r="O12" s="3">
        <v>50000000</v>
      </c>
      <c r="P12" t="s">
        <v>184</v>
      </c>
    </row>
    <row r="13" spans="1:16">
      <c r="A13" t="s">
        <v>204</v>
      </c>
      <c r="B13" s="2">
        <v>42030</v>
      </c>
      <c r="C13" t="s">
        <v>183</v>
      </c>
      <c r="D13" s="3">
        <v>20000</v>
      </c>
      <c r="E13">
        <v>0</v>
      </c>
      <c r="F13" t="s">
        <v>153</v>
      </c>
      <c r="G13">
        <v>201501</v>
      </c>
      <c r="H13" t="s">
        <v>141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20000</v>
      </c>
      <c r="P13" t="s">
        <v>184</v>
      </c>
    </row>
    <row r="14" spans="1:16">
      <c r="A14" t="s">
        <v>218</v>
      </c>
      <c r="B14" s="2">
        <v>42033</v>
      </c>
      <c r="C14" t="s">
        <v>219</v>
      </c>
      <c r="D14" s="3">
        <v>5100000</v>
      </c>
      <c r="E14">
        <v>3</v>
      </c>
      <c r="F14" t="s">
        <v>147</v>
      </c>
      <c r="G14">
        <v>201501</v>
      </c>
      <c r="H14" t="s">
        <v>215</v>
      </c>
      <c r="I14" s="3">
        <v>0</v>
      </c>
      <c r="J14" s="3">
        <v>0</v>
      </c>
      <c r="K14" s="3">
        <v>0</v>
      </c>
      <c r="L14" s="3">
        <v>0</v>
      </c>
      <c r="M14" s="3">
        <v>5000000</v>
      </c>
      <c r="N14" s="3">
        <v>100000</v>
      </c>
      <c r="O14" s="3">
        <v>0</v>
      </c>
    </row>
    <row r="15" spans="1:16">
      <c r="A15" t="s">
        <v>222</v>
      </c>
      <c r="B15" s="2">
        <v>42036</v>
      </c>
      <c r="C15" t="s">
        <v>152</v>
      </c>
      <c r="D15" s="3">
        <v>10000000</v>
      </c>
      <c r="E15">
        <v>1</v>
      </c>
      <c r="F15" t="s">
        <v>153</v>
      </c>
      <c r="G15">
        <v>201501</v>
      </c>
      <c r="H15" t="s">
        <v>141</v>
      </c>
      <c r="I15" s="3">
        <v>0</v>
      </c>
      <c r="J15" s="3">
        <v>0</v>
      </c>
      <c r="K15" s="3">
        <v>0</v>
      </c>
      <c r="L15" s="3">
        <v>10000000</v>
      </c>
      <c r="M15" s="3">
        <v>0</v>
      </c>
      <c r="N15" s="3">
        <v>0</v>
      </c>
      <c r="O15" s="3">
        <v>0</v>
      </c>
    </row>
    <row r="16" spans="1:16">
      <c r="A16" t="s">
        <v>226</v>
      </c>
      <c r="B16" s="2">
        <v>42036</v>
      </c>
      <c r="C16" t="s">
        <v>146</v>
      </c>
      <c r="D16" s="3">
        <v>130000</v>
      </c>
      <c r="E16">
        <v>4</v>
      </c>
      <c r="F16" t="s">
        <v>147</v>
      </c>
      <c r="G16">
        <v>201501</v>
      </c>
      <c r="H16" t="s">
        <v>141</v>
      </c>
      <c r="I16" s="3">
        <v>100000</v>
      </c>
      <c r="J16" s="3">
        <v>30000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</row>
    <row r="17" spans="1:15">
      <c r="A17" t="s">
        <v>227</v>
      </c>
      <c r="B17" s="2">
        <v>42036</v>
      </c>
      <c r="C17" t="s">
        <v>152</v>
      </c>
      <c r="D17" s="3">
        <v>5000000</v>
      </c>
      <c r="E17">
        <v>4</v>
      </c>
      <c r="F17" t="s">
        <v>153</v>
      </c>
      <c r="G17">
        <v>201501</v>
      </c>
      <c r="H17" t="s">
        <v>141</v>
      </c>
      <c r="I17" s="3">
        <v>0</v>
      </c>
      <c r="J17" s="3">
        <v>0</v>
      </c>
      <c r="K17" s="3">
        <v>0</v>
      </c>
      <c r="L17" s="3">
        <v>5000000</v>
      </c>
      <c r="M17" s="3">
        <v>0</v>
      </c>
      <c r="N17" s="3">
        <v>0</v>
      </c>
      <c r="O17" s="3">
        <v>0</v>
      </c>
    </row>
    <row r="18" spans="1:15">
      <c r="A18" t="s">
        <v>231</v>
      </c>
      <c r="B18" s="2">
        <v>42036</v>
      </c>
      <c r="C18" t="s">
        <v>146</v>
      </c>
      <c r="D18" s="3">
        <v>100000</v>
      </c>
      <c r="E18">
        <v>5</v>
      </c>
      <c r="F18" t="s">
        <v>147</v>
      </c>
      <c r="G18">
        <v>201501</v>
      </c>
      <c r="H18" t="s">
        <v>141</v>
      </c>
      <c r="I18" s="3">
        <v>100000</v>
      </c>
      <c r="J18" s="3">
        <v>0</v>
      </c>
      <c r="K18" s="3">
        <v>0</v>
      </c>
      <c r="L18" s="3">
        <v>0</v>
      </c>
      <c r="M18" s="3">
        <v>0</v>
      </c>
      <c r="N18" s="3">
        <v>0</v>
      </c>
      <c r="O18" s="3">
        <v>0</v>
      </c>
    </row>
    <row r="19" spans="1:15">
      <c r="A19" t="s">
        <v>232</v>
      </c>
      <c r="B19" s="2">
        <v>42036</v>
      </c>
      <c r="C19" t="s">
        <v>152</v>
      </c>
      <c r="D19" s="3">
        <v>10000000</v>
      </c>
      <c r="E19">
        <v>5</v>
      </c>
      <c r="F19" t="s">
        <v>153</v>
      </c>
      <c r="G19">
        <v>201501</v>
      </c>
      <c r="H19" t="s">
        <v>141</v>
      </c>
      <c r="I19" s="3">
        <v>0</v>
      </c>
      <c r="J19" s="3">
        <v>0</v>
      </c>
      <c r="K19" s="3">
        <v>0</v>
      </c>
      <c r="L19" s="3">
        <v>10000000</v>
      </c>
      <c r="M19" s="3">
        <v>0</v>
      </c>
      <c r="N19" s="3">
        <v>0</v>
      </c>
      <c r="O19" s="3">
        <v>0</v>
      </c>
    </row>
    <row r="20" spans="1:15">
      <c r="A20" t="s">
        <v>235</v>
      </c>
      <c r="B20" s="2">
        <v>42036</v>
      </c>
      <c r="C20" t="s">
        <v>236</v>
      </c>
      <c r="D20" s="3">
        <v>100000</v>
      </c>
      <c r="E20">
        <v>5</v>
      </c>
      <c r="F20" t="s">
        <v>147</v>
      </c>
      <c r="G20">
        <v>201501</v>
      </c>
      <c r="H20" t="s">
        <v>141</v>
      </c>
      <c r="I20" s="3">
        <v>0</v>
      </c>
      <c r="J20" s="3">
        <v>0</v>
      </c>
      <c r="K20" s="3">
        <v>0</v>
      </c>
      <c r="L20" s="3">
        <v>0</v>
      </c>
      <c r="M20" s="3">
        <v>0</v>
      </c>
      <c r="N20" s="3">
        <v>100000</v>
      </c>
      <c r="O20" s="3">
        <v>0</v>
      </c>
    </row>
    <row r="21" spans="1:15">
      <c r="A21" t="s">
        <v>237</v>
      </c>
      <c r="B21" s="2">
        <v>42036</v>
      </c>
      <c r="C21" t="s">
        <v>152</v>
      </c>
      <c r="D21" s="3">
        <v>1000000</v>
      </c>
      <c r="E21">
        <v>5</v>
      </c>
      <c r="F21" t="s">
        <v>153</v>
      </c>
      <c r="G21">
        <v>201501</v>
      </c>
      <c r="H21" t="s">
        <v>141</v>
      </c>
      <c r="I21" s="3">
        <v>0</v>
      </c>
      <c r="J21" s="3">
        <v>0</v>
      </c>
      <c r="K21" s="3">
        <v>0</v>
      </c>
      <c r="L21" s="3">
        <v>1000000</v>
      </c>
      <c r="M21" s="3">
        <v>0</v>
      </c>
      <c r="N21" s="3">
        <v>0</v>
      </c>
      <c r="O21" s="3">
        <v>0</v>
      </c>
    </row>
    <row r="22" spans="1:15">
      <c r="A22" t="s">
        <v>239</v>
      </c>
      <c r="B22" s="2">
        <v>42013</v>
      </c>
      <c r="C22" t="s">
        <v>186</v>
      </c>
      <c r="D22" s="3">
        <v>50000</v>
      </c>
      <c r="E22">
        <v>4</v>
      </c>
      <c r="F22" t="s">
        <v>147</v>
      </c>
      <c r="G22">
        <v>201501</v>
      </c>
      <c r="H22" t="s">
        <v>141</v>
      </c>
      <c r="I22" s="3">
        <v>0</v>
      </c>
      <c r="J22" s="3">
        <v>30000</v>
      </c>
      <c r="K22" s="3">
        <v>20000</v>
      </c>
      <c r="L22" s="3">
        <v>0</v>
      </c>
      <c r="M22" s="3">
        <v>0</v>
      </c>
      <c r="N22" s="3">
        <v>0</v>
      </c>
      <c r="O22" s="3">
        <v>0</v>
      </c>
    </row>
    <row r="23" spans="1:15">
      <c r="A23" t="s">
        <v>245</v>
      </c>
      <c r="B23" s="2">
        <v>42005</v>
      </c>
      <c r="C23" t="s">
        <v>246</v>
      </c>
      <c r="D23" s="3">
        <v>10100000</v>
      </c>
      <c r="E23">
        <v>5</v>
      </c>
      <c r="F23" t="s">
        <v>147</v>
      </c>
      <c r="G23">
        <v>201501</v>
      </c>
      <c r="H23" t="s">
        <v>141</v>
      </c>
      <c r="I23" s="3">
        <v>0</v>
      </c>
      <c r="J23" s="3">
        <v>0</v>
      </c>
      <c r="K23" s="3">
        <v>0</v>
      </c>
      <c r="L23" s="3">
        <v>0</v>
      </c>
      <c r="M23" s="3">
        <v>10000000</v>
      </c>
      <c r="N23" s="3">
        <v>100000</v>
      </c>
      <c r="O23" s="3">
        <v>0</v>
      </c>
    </row>
    <row r="24" spans="1:15">
      <c r="A24" t="s">
        <v>258</v>
      </c>
      <c r="B24" s="2">
        <v>42006</v>
      </c>
      <c r="C24" t="s">
        <v>186</v>
      </c>
      <c r="D24" s="3">
        <v>250000</v>
      </c>
      <c r="E24">
        <v>5</v>
      </c>
      <c r="F24" t="s">
        <v>147</v>
      </c>
      <c r="G24">
        <v>201501</v>
      </c>
      <c r="H24" t="s">
        <v>141</v>
      </c>
      <c r="I24" s="3">
        <v>0</v>
      </c>
      <c r="J24" s="3">
        <v>0</v>
      </c>
      <c r="K24" s="3">
        <v>250000</v>
      </c>
      <c r="L24" s="3">
        <v>0</v>
      </c>
      <c r="M24" s="3">
        <v>0</v>
      </c>
      <c r="N24" s="3">
        <v>0</v>
      </c>
      <c r="O24" s="3">
        <v>0</v>
      </c>
    </row>
    <row r="25" spans="1:15">
      <c r="A25" t="s">
        <v>274</v>
      </c>
      <c r="B25" s="2">
        <v>42006</v>
      </c>
      <c r="C25" t="s">
        <v>152</v>
      </c>
      <c r="D25" s="3">
        <v>5000000</v>
      </c>
      <c r="E25">
        <v>5</v>
      </c>
      <c r="F25" t="s">
        <v>153</v>
      </c>
      <c r="G25">
        <v>201501</v>
      </c>
      <c r="H25" t="s">
        <v>141</v>
      </c>
      <c r="I25" s="3">
        <v>0</v>
      </c>
      <c r="J25" s="3">
        <v>0</v>
      </c>
      <c r="K25" s="3">
        <v>0</v>
      </c>
      <c r="L25" s="3">
        <v>5000000</v>
      </c>
      <c r="M25" s="3">
        <v>0</v>
      </c>
      <c r="N25" s="3">
        <v>0</v>
      </c>
      <c r="O25" s="3">
        <v>0</v>
      </c>
    </row>
    <row r="26" spans="1:15">
      <c r="A26" t="s">
        <v>281</v>
      </c>
      <c r="B26" s="2">
        <v>42010</v>
      </c>
      <c r="C26" t="s">
        <v>236</v>
      </c>
      <c r="D26" s="3">
        <v>500000</v>
      </c>
      <c r="E26">
        <v>5</v>
      </c>
      <c r="F26" t="s">
        <v>147</v>
      </c>
      <c r="G26">
        <v>201501</v>
      </c>
      <c r="H26" t="s">
        <v>141</v>
      </c>
      <c r="I26" s="3">
        <v>0</v>
      </c>
      <c r="J26" s="3">
        <v>0</v>
      </c>
      <c r="K26" s="3">
        <v>0</v>
      </c>
      <c r="L26" s="3">
        <v>0</v>
      </c>
      <c r="M26" s="3">
        <v>500000</v>
      </c>
      <c r="N26" s="3">
        <v>0</v>
      </c>
      <c r="O26" s="3">
        <v>0</v>
      </c>
    </row>
  </sheetData>
  <pageMargins left="0.7" right="0.7" top="0.75" bottom="0.75" header="0.3" footer="0.3"/>
  <pageSetup paperSize="9" orientation="portrait" horizontalDpi="200" verticalDpi="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24"/>
  <sheetViews>
    <sheetView zoomScale="85" zoomScaleNormal="85" workbookViewId="0">
      <selection activeCell="J10" sqref="J10"/>
    </sheetView>
  </sheetViews>
  <sheetFormatPr defaultRowHeight="15"/>
  <cols>
    <col min="2" max="2" width="12" bestFit="1" customWidth="1"/>
    <col min="3" max="3" width="16.42578125" customWidth="1"/>
    <col min="5" max="5" width="14.85546875" customWidth="1"/>
    <col min="6" max="6" width="13.140625" bestFit="1" customWidth="1"/>
    <col min="7" max="7" width="13.140625" style="2" customWidth="1"/>
    <col min="8" max="8" width="16.42578125" customWidth="1"/>
    <col min="10" max="10" width="15.42578125" style="3" customWidth="1"/>
    <col min="11" max="11" width="14" style="3" customWidth="1"/>
    <col min="12" max="12" width="18.7109375" style="3" customWidth="1"/>
    <col min="13" max="13" width="14" style="3" customWidth="1"/>
    <col min="14" max="14" width="13.140625" style="3" customWidth="1"/>
    <col min="15" max="15" width="9.140625" style="3"/>
  </cols>
  <sheetData>
    <row r="1" spans="1:15" ht="18">
      <c r="A1" s="1" t="s">
        <v>15</v>
      </c>
      <c r="B1" s="1"/>
      <c r="D1" s="1"/>
    </row>
    <row r="2" spans="1:15" ht="15.75" thickBot="1">
      <c r="A2" s="42"/>
    </row>
    <row r="3" spans="1:15" s="44" customFormat="1">
      <c r="A3" s="45" t="s">
        <v>83</v>
      </c>
      <c r="B3" s="45" t="s">
        <v>23</v>
      </c>
      <c r="C3" s="45" t="s">
        <v>16</v>
      </c>
      <c r="D3" s="45" t="s">
        <v>17</v>
      </c>
      <c r="E3" s="45" t="s">
        <v>18</v>
      </c>
      <c r="F3" s="45" t="s">
        <v>20</v>
      </c>
      <c r="G3" s="46" t="s">
        <v>21</v>
      </c>
      <c r="H3" s="45" t="s">
        <v>19</v>
      </c>
      <c r="I3" s="45" t="s">
        <v>22</v>
      </c>
      <c r="J3" s="47" t="s">
        <v>24</v>
      </c>
      <c r="K3" s="47" t="s">
        <v>25</v>
      </c>
      <c r="L3" s="47" t="s">
        <v>26</v>
      </c>
      <c r="M3" s="47" t="s">
        <v>0</v>
      </c>
      <c r="N3" s="47" t="s">
        <v>27</v>
      </c>
      <c r="O3" s="47" t="s">
        <v>123</v>
      </c>
    </row>
    <row r="4" spans="1:15">
      <c r="A4">
        <v>1</v>
      </c>
      <c r="B4" s="2">
        <v>42030</v>
      </c>
      <c r="C4" t="s">
        <v>142</v>
      </c>
      <c r="D4" t="s">
        <v>143</v>
      </c>
      <c r="E4" t="s">
        <v>144</v>
      </c>
      <c r="F4" t="s">
        <v>144</v>
      </c>
      <c r="G4" s="2">
        <v>32123</v>
      </c>
      <c r="H4" t="s">
        <v>144</v>
      </c>
      <c r="J4" s="3">
        <v>100000</v>
      </c>
      <c r="K4" s="3">
        <v>60000</v>
      </c>
      <c r="L4" s="3">
        <v>120000</v>
      </c>
      <c r="M4" s="3">
        <v>10000000</v>
      </c>
    </row>
    <row r="5" spans="1:15">
      <c r="A5">
        <v>2</v>
      </c>
      <c r="B5" s="2">
        <v>42030</v>
      </c>
      <c r="C5" t="s">
        <v>148</v>
      </c>
      <c r="D5" t="s">
        <v>143</v>
      </c>
      <c r="E5" t="s">
        <v>149</v>
      </c>
      <c r="F5" t="s">
        <v>149</v>
      </c>
      <c r="G5" s="2">
        <v>31759</v>
      </c>
      <c r="H5" t="s">
        <v>149</v>
      </c>
      <c r="J5" s="3">
        <v>100000</v>
      </c>
      <c r="K5" s="3">
        <v>30000</v>
      </c>
      <c r="L5" s="3">
        <v>10000</v>
      </c>
      <c r="M5" s="3">
        <v>10000000</v>
      </c>
      <c r="N5" s="3">
        <v>2000000</v>
      </c>
      <c r="O5" s="3">
        <v>0</v>
      </c>
    </row>
    <row r="6" spans="1:15">
      <c r="A6">
        <v>3</v>
      </c>
      <c r="B6" s="2">
        <v>42030</v>
      </c>
      <c r="C6" t="s">
        <v>195</v>
      </c>
      <c r="D6" t="s">
        <v>143</v>
      </c>
      <c r="E6" t="s">
        <v>196</v>
      </c>
      <c r="F6" t="s">
        <v>196</v>
      </c>
      <c r="G6" s="2">
        <v>31299</v>
      </c>
      <c r="H6" t="s">
        <v>196</v>
      </c>
      <c r="J6" s="3">
        <v>100000</v>
      </c>
      <c r="K6" s="3">
        <v>30000</v>
      </c>
      <c r="L6" s="3">
        <v>90000</v>
      </c>
      <c r="M6" s="3">
        <v>10000000</v>
      </c>
      <c r="N6" s="3">
        <v>5000000</v>
      </c>
      <c r="O6" s="3">
        <v>100000</v>
      </c>
    </row>
    <row r="7" spans="1:15">
      <c r="A7">
        <v>4</v>
      </c>
      <c r="B7" s="2">
        <v>42036</v>
      </c>
      <c r="C7" t="s">
        <v>224</v>
      </c>
      <c r="D7" t="s">
        <v>143</v>
      </c>
      <c r="E7" t="s">
        <v>225</v>
      </c>
      <c r="F7" t="s">
        <v>225</v>
      </c>
      <c r="G7" s="2">
        <v>31299</v>
      </c>
      <c r="H7" t="s">
        <v>225</v>
      </c>
      <c r="J7" s="3">
        <v>100000</v>
      </c>
      <c r="K7" s="3">
        <v>60000</v>
      </c>
      <c r="L7" s="3">
        <v>20000</v>
      </c>
      <c r="M7" s="3">
        <v>5000000</v>
      </c>
    </row>
    <row r="8" spans="1:15">
      <c r="A8">
        <v>5</v>
      </c>
      <c r="B8" s="2">
        <v>42036</v>
      </c>
      <c r="C8" t="s">
        <v>229</v>
      </c>
      <c r="D8" t="s">
        <v>143</v>
      </c>
      <c r="E8" t="s">
        <v>230</v>
      </c>
      <c r="F8" t="s">
        <v>230</v>
      </c>
      <c r="G8" s="2">
        <v>31663</v>
      </c>
      <c r="H8" t="s">
        <v>230</v>
      </c>
      <c r="J8" s="3">
        <v>100000</v>
      </c>
      <c r="K8" s="3">
        <v>0</v>
      </c>
      <c r="L8" s="3">
        <v>250000</v>
      </c>
      <c r="M8" s="3">
        <v>16000000</v>
      </c>
      <c r="N8" s="3">
        <v>10500000</v>
      </c>
      <c r="O8" s="3">
        <v>200000</v>
      </c>
    </row>
    <row r="9" spans="1:15">
      <c r="B9" s="2"/>
    </row>
    <row r="10" spans="1:15">
      <c r="B10" s="2"/>
    </row>
    <row r="11" spans="1:15">
      <c r="B11" s="2"/>
    </row>
    <row r="12" spans="1:15">
      <c r="B12" s="2"/>
    </row>
    <row r="13" spans="1:15">
      <c r="B13" s="2"/>
    </row>
    <row r="14" spans="1:15">
      <c r="B14" s="2"/>
    </row>
    <row r="15" spans="1:15">
      <c r="B15" s="2"/>
    </row>
    <row r="16" spans="1:15">
      <c r="B16" s="2"/>
    </row>
    <row r="17" spans="2:2">
      <c r="B17" s="2"/>
    </row>
    <row r="18" spans="2:2">
      <c r="B18" s="2"/>
    </row>
    <row r="19" spans="2:2">
      <c r="B19" s="2"/>
    </row>
    <row r="20" spans="2:2">
      <c r="B20" s="2"/>
    </row>
    <row r="21" spans="2:2">
      <c r="B21" s="2"/>
    </row>
    <row r="22" spans="2:2">
      <c r="B22" s="2"/>
    </row>
    <row r="23" spans="2:2">
      <c r="B23" s="2"/>
    </row>
    <row r="24" spans="2:2">
      <c r="B24" s="2"/>
    </row>
  </sheetData>
  <pageMargins left="0.7" right="0.7" top="0.75" bottom="0.75" header="0.3" footer="0.3"/>
  <pageSetup paperSize="9" orientation="portrait" horizontalDpi="200" verticalDpi="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10"/>
  <sheetViews>
    <sheetView zoomScale="85" zoomScaleNormal="85" workbookViewId="0">
      <selection activeCell="M1" sqref="M1:N1"/>
    </sheetView>
  </sheetViews>
  <sheetFormatPr defaultRowHeight="15"/>
  <cols>
    <col min="1" max="1" width="18" bestFit="1" customWidth="1"/>
    <col min="2" max="2" width="12.85546875" customWidth="1"/>
    <col min="3" max="3" width="10.85546875" customWidth="1"/>
    <col min="4" max="5" width="10.28515625" style="43" bestFit="1" customWidth="1"/>
    <col min="6" max="6" width="14.85546875" style="43" customWidth="1"/>
    <col min="7" max="7" width="12.5703125" style="43" customWidth="1"/>
    <col min="8" max="8" width="13.85546875" customWidth="1"/>
    <col min="10" max="10" width="10.85546875" customWidth="1"/>
    <col min="11" max="11" width="10.7109375" style="54" customWidth="1"/>
    <col min="12" max="12" width="13.28515625" style="43" bestFit="1" customWidth="1"/>
    <col min="13" max="13" width="17.140625" customWidth="1"/>
    <col min="14" max="14" width="10.85546875" style="2" bestFit="1" customWidth="1"/>
    <col min="15" max="15" width="12.28515625" style="2" bestFit="1" customWidth="1"/>
    <col min="16" max="16" width="10.7109375" style="54" customWidth="1"/>
  </cols>
  <sheetData>
    <row r="1" spans="1:16" ht="18">
      <c r="A1" s="1" t="s">
        <v>82</v>
      </c>
      <c r="L1" s="54"/>
      <c r="M1" s="54"/>
      <c r="N1" s="54"/>
      <c r="O1" s="54"/>
    </row>
    <row r="2" spans="1:16" ht="15.75" thickBot="1">
      <c r="A2" s="42"/>
    </row>
    <row r="3" spans="1:16" s="44" customFormat="1">
      <c r="A3" s="51" t="s">
        <v>84</v>
      </c>
      <c r="B3" s="51" t="s">
        <v>85</v>
      </c>
      <c r="C3" s="51" t="s">
        <v>83</v>
      </c>
      <c r="D3" s="52" t="s">
        <v>86</v>
      </c>
      <c r="E3" s="52" t="s">
        <v>71</v>
      </c>
      <c r="F3" s="52" t="s">
        <v>87</v>
      </c>
      <c r="G3" s="52" t="s">
        <v>88</v>
      </c>
      <c r="H3" s="51" t="s">
        <v>89</v>
      </c>
      <c r="I3" s="51" t="s">
        <v>14</v>
      </c>
      <c r="J3" s="51" t="s">
        <v>69</v>
      </c>
      <c r="K3" s="55" t="s">
        <v>103</v>
      </c>
      <c r="L3" s="56" t="s">
        <v>104</v>
      </c>
      <c r="M3" s="56" t="s">
        <v>109</v>
      </c>
      <c r="N3" s="78" t="s">
        <v>32</v>
      </c>
      <c r="O3" s="78" t="s">
        <v>114</v>
      </c>
      <c r="P3" s="55" t="s">
        <v>115</v>
      </c>
    </row>
    <row r="4" spans="1:16">
      <c r="A4" t="s">
        <v>197</v>
      </c>
      <c r="B4" t="s">
        <v>154</v>
      </c>
      <c r="C4">
        <v>3</v>
      </c>
      <c r="D4" s="43">
        <v>10000000</v>
      </c>
      <c r="E4" s="43">
        <v>2500000</v>
      </c>
      <c r="F4" s="43">
        <v>100000</v>
      </c>
      <c r="G4" s="43">
        <v>4</v>
      </c>
      <c r="H4" t="s">
        <v>162</v>
      </c>
      <c r="I4">
        <v>201501</v>
      </c>
      <c r="J4" t="s">
        <v>141</v>
      </c>
      <c r="K4" s="54">
        <v>5000000</v>
      </c>
      <c r="L4" s="43">
        <f t="shared" ref="L4:L9" si="0">D4-K4</f>
        <v>5000000</v>
      </c>
      <c r="M4" s="43">
        <v>100000</v>
      </c>
      <c r="N4" s="2">
        <v>42030</v>
      </c>
      <c r="O4" s="2">
        <v>42150</v>
      </c>
      <c r="P4" s="54">
        <v>1</v>
      </c>
    </row>
    <row r="5" spans="1:16">
      <c r="A5" t="s">
        <v>198</v>
      </c>
      <c r="B5" t="s">
        <v>181</v>
      </c>
      <c r="C5">
        <v>2</v>
      </c>
      <c r="D5" s="43">
        <v>10000000</v>
      </c>
      <c r="E5" s="43">
        <v>1000000</v>
      </c>
      <c r="F5" s="43">
        <v>100000</v>
      </c>
      <c r="G5" s="43">
        <v>10</v>
      </c>
      <c r="H5" t="s">
        <v>58</v>
      </c>
      <c r="I5">
        <v>201501</v>
      </c>
      <c r="J5" t="s">
        <v>141</v>
      </c>
      <c r="K5" s="54">
        <v>2000000</v>
      </c>
      <c r="L5" s="43">
        <f t="shared" si="0"/>
        <v>8000000</v>
      </c>
      <c r="M5">
        <v>0</v>
      </c>
      <c r="N5" s="2">
        <v>42030</v>
      </c>
      <c r="O5" s="2">
        <v>42334</v>
      </c>
      <c r="P5" s="54">
        <v>2</v>
      </c>
    </row>
    <row r="6" spans="1:16">
      <c r="A6" t="s">
        <v>222</v>
      </c>
      <c r="B6" t="s">
        <v>223</v>
      </c>
      <c r="C6">
        <v>1</v>
      </c>
      <c r="D6" s="43">
        <v>10000000</v>
      </c>
      <c r="E6" s="43">
        <v>2500000</v>
      </c>
      <c r="F6" s="43">
        <v>100000</v>
      </c>
      <c r="G6" s="43">
        <v>4</v>
      </c>
      <c r="H6" t="s">
        <v>162</v>
      </c>
      <c r="I6">
        <v>201501</v>
      </c>
      <c r="J6" t="s">
        <v>141</v>
      </c>
      <c r="K6" s="54">
        <v>0</v>
      </c>
      <c r="L6" s="43">
        <f t="shared" si="0"/>
        <v>10000000</v>
      </c>
      <c r="M6">
        <v>0</v>
      </c>
      <c r="N6" s="2">
        <v>42036</v>
      </c>
      <c r="O6" s="2">
        <v>42156</v>
      </c>
    </row>
    <row r="7" spans="1:16">
      <c r="A7" t="s">
        <v>227</v>
      </c>
      <c r="B7" t="s">
        <v>228</v>
      </c>
      <c r="C7">
        <v>4</v>
      </c>
      <c r="D7" s="43">
        <v>5000000</v>
      </c>
      <c r="E7" s="43">
        <v>1250000</v>
      </c>
      <c r="F7" s="43">
        <v>50000</v>
      </c>
      <c r="G7" s="43">
        <v>4</v>
      </c>
      <c r="H7" t="s">
        <v>162</v>
      </c>
      <c r="I7">
        <v>201501</v>
      </c>
      <c r="J7" t="s">
        <v>141</v>
      </c>
      <c r="K7" s="54">
        <v>0</v>
      </c>
      <c r="L7" s="43">
        <f t="shared" si="0"/>
        <v>5000000</v>
      </c>
      <c r="M7">
        <v>0</v>
      </c>
      <c r="N7" s="2">
        <v>42036</v>
      </c>
      <c r="O7" s="2">
        <v>42156</v>
      </c>
    </row>
    <row r="8" spans="1:16">
      <c r="A8" t="s">
        <v>232</v>
      </c>
      <c r="B8" t="s">
        <v>233</v>
      </c>
      <c r="C8">
        <v>5</v>
      </c>
      <c r="D8" s="43">
        <v>10000000</v>
      </c>
      <c r="E8" s="43">
        <v>10000000</v>
      </c>
      <c r="F8" s="43">
        <v>100000</v>
      </c>
      <c r="G8" s="43">
        <v>1</v>
      </c>
      <c r="H8" t="s">
        <v>234</v>
      </c>
      <c r="I8">
        <v>201501</v>
      </c>
      <c r="J8" t="s">
        <v>141</v>
      </c>
      <c r="K8" s="54">
        <v>10000000</v>
      </c>
      <c r="L8" s="43">
        <f>D8-K8</f>
        <v>0</v>
      </c>
      <c r="M8">
        <v>200000</v>
      </c>
      <c r="N8" s="2">
        <v>42036</v>
      </c>
      <c r="O8" s="2">
        <v>42064</v>
      </c>
      <c r="P8" s="54">
        <v>2</v>
      </c>
    </row>
    <row r="9" spans="1:16">
      <c r="A9" t="s">
        <v>237</v>
      </c>
      <c r="B9" t="s">
        <v>238</v>
      </c>
      <c r="C9">
        <v>5</v>
      </c>
      <c r="D9" s="43">
        <v>1000000</v>
      </c>
      <c r="E9" s="43">
        <v>250000</v>
      </c>
      <c r="F9" s="43">
        <v>10000</v>
      </c>
      <c r="G9" s="43">
        <v>4</v>
      </c>
      <c r="H9" t="s">
        <v>162</v>
      </c>
      <c r="I9">
        <v>201501</v>
      </c>
      <c r="J9" t="s">
        <v>141</v>
      </c>
      <c r="K9" s="54">
        <v>0</v>
      </c>
      <c r="L9" s="43">
        <f t="shared" si="0"/>
        <v>1000000</v>
      </c>
      <c r="M9">
        <v>0</v>
      </c>
      <c r="N9" s="2">
        <v>42036</v>
      </c>
      <c r="O9" s="2">
        <v>42156</v>
      </c>
    </row>
    <row r="10" spans="1:16">
      <c r="A10" t="s">
        <v>274</v>
      </c>
      <c r="B10" t="s">
        <v>275</v>
      </c>
      <c r="C10">
        <v>5</v>
      </c>
      <c r="D10" s="43">
        <v>5000000</v>
      </c>
      <c r="E10" s="43">
        <v>500000</v>
      </c>
      <c r="F10" s="43">
        <v>50000</v>
      </c>
      <c r="G10" s="43">
        <v>10</v>
      </c>
      <c r="H10" t="s">
        <v>58</v>
      </c>
      <c r="I10">
        <v>201501</v>
      </c>
      <c r="J10" t="s">
        <v>141</v>
      </c>
      <c r="K10" s="54">
        <v>500000</v>
      </c>
      <c r="L10" s="43">
        <f>D10-K10</f>
        <v>4500000</v>
      </c>
      <c r="M10">
        <v>0</v>
      </c>
      <c r="N10" s="2">
        <v>42006</v>
      </c>
      <c r="O10" s="2">
        <v>42310</v>
      </c>
      <c r="P10" s="54">
        <v>1</v>
      </c>
    </row>
  </sheetData>
  <pageMargins left="0.7" right="0.7" top="0.75" bottom="0.75" header="0.3" footer="0.3"/>
  <pageSetup paperSize="9" orientation="portrait" horizontalDpi="200" verticalDpi="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26"/>
  <sheetViews>
    <sheetView zoomScale="85" zoomScaleNormal="85" workbookViewId="0">
      <selection activeCell="K33" sqref="K33"/>
    </sheetView>
  </sheetViews>
  <sheetFormatPr defaultRowHeight="15"/>
  <cols>
    <col min="2" max="2" width="13" bestFit="1" customWidth="1"/>
    <col min="3" max="3" width="16" bestFit="1" customWidth="1"/>
    <col min="4" max="4" width="10.28515625" style="43" bestFit="1" customWidth="1"/>
    <col min="5" max="5" width="13.85546875" style="43" bestFit="1" customWidth="1"/>
    <col min="6" max="6" width="9.140625" style="43"/>
    <col min="7" max="7" width="15.85546875" style="43" bestFit="1" customWidth="1"/>
    <col min="8" max="8" width="14.85546875" style="43" bestFit="1" customWidth="1"/>
    <col min="11" max="11" width="17.28515625" bestFit="1" customWidth="1"/>
    <col min="12" max="12" width="17.28515625" customWidth="1"/>
  </cols>
  <sheetData>
    <row r="1" spans="1:14" ht="18">
      <c r="A1" s="1" t="s">
        <v>102</v>
      </c>
    </row>
    <row r="2" spans="1:14" ht="15.75" thickBot="1">
      <c r="C2" s="2"/>
      <c r="L2" s="2"/>
    </row>
    <row r="3" spans="1:14" s="44" customFormat="1">
      <c r="A3" s="51" t="s">
        <v>85</v>
      </c>
      <c r="B3" s="51" t="s">
        <v>187</v>
      </c>
      <c r="C3" s="51" t="s">
        <v>188</v>
      </c>
      <c r="D3" s="52" t="s">
        <v>71</v>
      </c>
      <c r="E3" s="52" t="s">
        <v>87</v>
      </c>
      <c r="F3" s="52" t="s">
        <v>189</v>
      </c>
      <c r="G3" s="52" t="s">
        <v>190</v>
      </c>
      <c r="H3" s="52" t="s">
        <v>191</v>
      </c>
      <c r="I3" s="51" t="s">
        <v>22</v>
      </c>
      <c r="J3" s="51" t="s">
        <v>34</v>
      </c>
      <c r="K3" s="51" t="s">
        <v>84</v>
      </c>
      <c r="L3" s="51" t="s">
        <v>192</v>
      </c>
      <c r="M3" s="51" t="s">
        <v>14</v>
      </c>
      <c r="N3" s="51" t="s">
        <v>69</v>
      </c>
    </row>
    <row r="4" spans="1:14">
      <c r="A4" t="s">
        <v>181</v>
      </c>
      <c r="B4">
        <v>1</v>
      </c>
      <c r="C4" s="2">
        <v>42061</v>
      </c>
      <c r="D4" s="43">
        <v>1000000</v>
      </c>
      <c r="E4" s="43">
        <v>0</v>
      </c>
      <c r="F4" s="43">
        <v>0</v>
      </c>
      <c r="G4" s="43">
        <v>10000000</v>
      </c>
      <c r="H4" s="43">
        <v>9000000</v>
      </c>
      <c r="I4" t="s">
        <v>182</v>
      </c>
      <c r="J4" t="s">
        <v>201</v>
      </c>
      <c r="K4" t="s">
        <v>199</v>
      </c>
      <c r="L4" s="2">
        <v>42030</v>
      </c>
      <c r="M4">
        <v>201501</v>
      </c>
      <c r="N4" t="s">
        <v>141</v>
      </c>
    </row>
    <row r="5" spans="1:14">
      <c r="A5" t="s">
        <v>181</v>
      </c>
      <c r="B5">
        <v>2</v>
      </c>
      <c r="C5" s="2">
        <v>42089</v>
      </c>
      <c r="D5" s="43">
        <v>1000000</v>
      </c>
      <c r="E5" s="43">
        <v>0</v>
      </c>
      <c r="F5" s="43">
        <v>0</v>
      </c>
      <c r="G5" s="43">
        <v>9000000</v>
      </c>
      <c r="H5" s="43">
        <v>8000000</v>
      </c>
      <c r="I5" t="s">
        <v>182</v>
      </c>
      <c r="J5" t="s">
        <v>201</v>
      </c>
      <c r="K5" t="s">
        <v>199</v>
      </c>
      <c r="L5" s="2">
        <v>42030</v>
      </c>
      <c r="M5">
        <v>201501</v>
      </c>
      <c r="N5" t="s">
        <v>141</v>
      </c>
    </row>
    <row r="6" spans="1:14">
      <c r="A6" t="s">
        <v>181</v>
      </c>
      <c r="B6">
        <v>3</v>
      </c>
      <c r="C6" s="2">
        <v>42120</v>
      </c>
      <c r="D6" s="43">
        <v>1000000</v>
      </c>
      <c r="E6" s="43">
        <v>0</v>
      </c>
      <c r="F6" s="43">
        <v>0</v>
      </c>
      <c r="L6" s="2"/>
    </row>
    <row r="7" spans="1:14">
      <c r="A7" t="s">
        <v>181</v>
      </c>
      <c r="B7">
        <v>4</v>
      </c>
      <c r="C7" s="2">
        <v>42150</v>
      </c>
      <c r="D7" s="43">
        <v>1000000</v>
      </c>
      <c r="E7" s="43">
        <v>0</v>
      </c>
      <c r="F7" s="43">
        <v>0</v>
      </c>
      <c r="L7" s="2"/>
    </row>
    <row r="8" spans="1:14">
      <c r="A8" t="s">
        <v>181</v>
      </c>
      <c r="B8">
        <v>5</v>
      </c>
      <c r="C8" s="2">
        <v>42181</v>
      </c>
      <c r="D8" s="43">
        <v>1000000</v>
      </c>
      <c r="E8" s="43">
        <v>0</v>
      </c>
      <c r="F8" s="43">
        <v>0</v>
      </c>
    </row>
    <row r="9" spans="1:14">
      <c r="A9" t="s">
        <v>181</v>
      </c>
      <c r="B9">
        <v>6</v>
      </c>
      <c r="C9" s="2">
        <v>42211</v>
      </c>
      <c r="D9" s="43">
        <v>1000000</v>
      </c>
      <c r="E9" s="43">
        <v>0</v>
      </c>
      <c r="F9" s="43">
        <v>0</v>
      </c>
    </row>
    <row r="10" spans="1:14">
      <c r="A10" t="s">
        <v>181</v>
      </c>
      <c r="B10">
        <v>7</v>
      </c>
      <c r="C10" s="2">
        <v>42242</v>
      </c>
      <c r="D10" s="43">
        <v>1000000</v>
      </c>
      <c r="E10" s="43">
        <v>0</v>
      </c>
      <c r="F10" s="43">
        <v>0</v>
      </c>
    </row>
    <row r="11" spans="1:14">
      <c r="A11" t="s">
        <v>181</v>
      </c>
      <c r="B11">
        <v>8</v>
      </c>
      <c r="C11" s="2">
        <v>42273</v>
      </c>
      <c r="D11" s="43">
        <v>1000000</v>
      </c>
      <c r="E11" s="43">
        <v>0</v>
      </c>
      <c r="F11" s="43">
        <v>0</v>
      </c>
    </row>
    <row r="12" spans="1:14">
      <c r="A12" t="s">
        <v>181</v>
      </c>
      <c r="B12">
        <v>9</v>
      </c>
      <c r="C12" s="2">
        <v>42303</v>
      </c>
      <c r="D12" s="43">
        <v>1000000</v>
      </c>
      <c r="E12" s="43">
        <v>0</v>
      </c>
      <c r="F12" s="43">
        <v>0</v>
      </c>
    </row>
    <row r="13" spans="1:14">
      <c r="A13" t="s">
        <v>181</v>
      </c>
      <c r="B13">
        <v>10</v>
      </c>
      <c r="C13" s="2">
        <v>42334</v>
      </c>
      <c r="D13" s="43">
        <v>1000000</v>
      </c>
      <c r="E13" s="43">
        <v>0</v>
      </c>
      <c r="F13" s="43">
        <v>0</v>
      </c>
    </row>
    <row r="14" spans="1:14">
      <c r="A14" t="s">
        <v>154</v>
      </c>
      <c r="B14">
        <v>1</v>
      </c>
      <c r="C14" s="2">
        <v>42033</v>
      </c>
      <c r="D14" s="43">
        <v>5000000</v>
      </c>
      <c r="E14" s="43">
        <v>100000</v>
      </c>
      <c r="G14" s="43">
        <v>10000000</v>
      </c>
      <c r="H14" s="43">
        <v>5000000</v>
      </c>
      <c r="I14" t="s">
        <v>182</v>
      </c>
      <c r="J14" t="s">
        <v>162</v>
      </c>
      <c r="K14" t="s">
        <v>218</v>
      </c>
      <c r="L14" s="2">
        <v>42033</v>
      </c>
      <c r="M14">
        <v>201501</v>
      </c>
      <c r="N14" t="s">
        <v>215</v>
      </c>
    </row>
    <row r="15" spans="1:14">
      <c r="A15" t="s">
        <v>233</v>
      </c>
      <c r="B15">
        <v>1</v>
      </c>
      <c r="C15" s="2">
        <v>42036</v>
      </c>
      <c r="D15" s="43">
        <v>0</v>
      </c>
      <c r="E15" s="43">
        <v>100000</v>
      </c>
      <c r="G15" s="43">
        <v>10000000</v>
      </c>
      <c r="H15" s="43">
        <v>10000000</v>
      </c>
      <c r="I15" t="s">
        <v>182</v>
      </c>
      <c r="J15" t="s">
        <v>58</v>
      </c>
      <c r="K15" t="s">
        <v>235</v>
      </c>
      <c r="L15" s="2">
        <v>42036</v>
      </c>
      <c r="M15">
        <v>201501</v>
      </c>
      <c r="N15" t="s">
        <v>141</v>
      </c>
    </row>
    <row r="16" spans="1:14">
      <c r="A16" t="s">
        <v>233</v>
      </c>
      <c r="B16">
        <v>2</v>
      </c>
      <c r="C16" s="2">
        <v>42005</v>
      </c>
      <c r="D16" s="43">
        <v>10000000</v>
      </c>
      <c r="E16" s="43">
        <v>100000</v>
      </c>
      <c r="G16" s="43">
        <v>10000000</v>
      </c>
      <c r="H16" s="43">
        <v>0</v>
      </c>
      <c r="I16" t="s">
        <v>182</v>
      </c>
      <c r="J16" t="s">
        <v>58</v>
      </c>
      <c r="K16" t="s">
        <v>245</v>
      </c>
      <c r="L16" s="2">
        <v>42005</v>
      </c>
      <c r="M16">
        <v>201501</v>
      </c>
      <c r="N16" t="s">
        <v>141</v>
      </c>
    </row>
    <row r="17" spans="1:14">
      <c r="A17" t="s">
        <v>275</v>
      </c>
      <c r="B17">
        <v>1</v>
      </c>
      <c r="C17" s="2">
        <v>42037</v>
      </c>
      <c r="D17" s="43">
        <v>500000</v>
      </c>
      <c r="E17" s="43">
        <v>0</v>
      </c>
      <c r="F17" s="43">
        <v>0</v>
      </c>
      <c r="G17" s="43">
        <v>5000000</v>
      </c>
      <c r="H17" s="43">
        <v>4500000</v>
      </c>
      <c r="I17" t="s">
        <v>182</v>
      </c>
      <c r="J17" t="s">
        <v>201</v>
      </c>
      <c r="K17" t="s">
        <v>281</v>
      </c>
      <c r="L17" s="2">
        <v>42010</v>
      </c>
      <c r="M17">
        <v>201501</v>
      </c>
      <c r="N17" t="s">
        <v>141</v>
      </c>
    </row>
    <row r="18" spans="1:14">
      <c r="A18" t="s">
        <v>275</v>
      </c>
      <c r="B18">
        <v>2</v>
      </c>
      <c r="C18" s="2">
        <v>42065</v>
      </c>
      <c r="D18" s="43">
        <v>500000</v>
      </c>
      <c r="E18" s="43">
        <v>0</v>
      </c>
      <c r="F18" s="43">
        <v>0</v>
      </c>
    </row>
    <row r="19" spans="1:14">
      <c r="A19" t="s">
        <v>275</v>
      </c>
      <c r="B19">
        <v>3</v>
      </c>
      <c r="C19" s="2">
        <v>42096</v>
      </c>
      <c r="D19" s="43">
        <v>500000</v>
      </c>
      <c r="E19" s="43">
        <v>0</v>
      </c>
      <c r="F19" s="43">
        <v>0</v>
      </c>
    </row>
    <row r="20" spans="1:14">
      <c r="A20" t="s">
        <v>275</v>
      </c>
      <c r="B20">
        <v>4</v>
      </c>
      <c r="C20" s="2">
        <v>42126</v>
      </c>
      <c r="D20" s="43">
        <v>500000</v>
      </c>
      <c r="E20" s="43">
        <v>0</v>
      </c>
      <c r="F20" s="43">
        <v>0</v>
      </c>
    </row>
    <row r="21" spans="1:14">
      <c r="A21" t="s">
        <v>275</v>
      </c>
      <c r="B21">
        <v>5</v>
      </c>
      <c r="C21" s="2">
        <v>42157</v>
      </c>
      <c r="D21" s="43">
        <v>500000</v>
      </c>
      <c r="E21" s="43">
        <v>0</v>
      </c>
      <c r="F21" s="43">
        <v>0</v>
      </c>
    </row>
    <row r="22" spans="1:14">
      <c r="A22" t="s">
        <v>275</v>
      </c>
      <c r="B22">
        <v>6</v>
      </c>
      <c r="C22" s="2">
        <v>42187</v>
      </c>
      <c r="D22" s="43">
        <v>500000</v>
      </c>
      <c r="E22" s="43">
        <v>0</v>
      </c>
      <c r="F22" s="43">
        <v>0</v>
      </c>
    </row>
    <row r="23" spans="1:14">
      <c r="A23" t="s">
        <v>275</v>
      </c>
      <c r="B23">
        <v>7</v>
      </c>
      <c r="C23" s="2">
        <v>42218</v>
      </c>
      <c r="D23" s="43">
        <v>500000</v>
      </c>
      <c r="E23" s="43">
        <v>0</v>
      </c>
      <c r="F23" s="43">
        <v>0</v>
      </c>
    </row>
    <row r="24" spans="1:14">
      <c r="A24" t="s">
        <v>275</v>
      </c>
      <c r="B24">
        <v>8</v>
      </c>
      <c r="C24" s="2">
        <v>42249</v>
      </c>
      <c r="D24" s="43">
        <v>500000</v>
      </c>
      <c r="E24" s="43">
        <v>0</v>
      </c>
      <c r="F24" s="43">
        <v>0</v>
      </c>
    </row>
    <row r="25" spans="1:14">
      <c r="A25" t="s">
        <v>275</v>
      </c>
      <c r="B25">
        <v>9</v>
      </c>
      <c r="C25" s="2">
        <v>42279</v>
      </c>
      <c r="D25" s="43">
        <v>500000</v>
      </c>
      <c r="E25" s="43">
        <v>0</v>
      </c>
      <c r="F25" s="43">
        <v>0</v>
      </c>
    </row>
    <row r="26" spans="1:14">
      <c r="A26" t="s">
        <v>275</v>
      </c>
      <c r="B26">
        <v>10</v>
      </c>
      <c r="C26" s="2">
        <v>42310</v>
      </c>
      <c r="D26" s="43">
        <v>500000</v>
      </c>
      <c r="E26" s="43">
        <v>0</v>
      </c>
      <c r="F26" s="43">
        <v>0</v>
      </c>
    </row>
  </sheetData>
  <pageMargins left="0.7" right="0.7" top="0.75" bottom="0.75" header="0.3" footer="0.3"/>
  <pageSetup paperSize="9" orientation="portrait" horizontalDpi="200" verticalDpi="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33"/>
  <sheetViews>
    <sheetView zoomScale="90" zoomScaleNormal="90" workbookViewId="0">
      <selection activeCell="E4" sqref="E4"/>
    </sheetView>
  </sheetViews>
  <sheetFormatPr defaultRowHeight="15"/>
  <cols>
    <col min="2" max="2" width="45.5703125" customWidth="1"/>
    <col min="3" max="3" width="11.42578125" customWidth="1"/>
  </cols>
  <sheetData>
    <row r="1" spans="1:3" ht="18">
      <c r="A1" s="1" t="s">
        <v>4</v>
      </c>
      <c r="C1" s="2"/>
    </row>
    <row r="2" spans="1:3" ht="15.75" thickBot="1">
      <c r="A2" s="42"/>
    </row>
    <row r="3" spans="1:3" s="44" customFormat="1">
      <c r="A3" s="53" t="s">
        <v>5</v>
      </c>
      <c r="B3" s="53" t="s">
        <v>6</v>
      </c>
      <c r="C3" s="53" t="s">
        <v>7</v>
      </c>
    </row>
    <row r="4" spans="1:3">
      <c r="A4" t="s">
        <v>8</v>
      </c>
      <c r="B4" t="s">
        <v>9</v>
      </c>
      <c r="C4">
        <v>5</v>
      </c>
    </row>
    <row r="5" spans="1:3">
      <c r="A5" t="s">
        <v>30</v>
      </c>
      <c r="B5" t="s">
        <v>10</v>
      </c>
      <c r="C5">
        <v>30000</v>
      </c>
    </row>
    <row r="6" spans="1:3">
      <c r="A6" t="s">
        <v>11</v>
      </c>
      <c r="B6" t="s">
        <v>12</v>
      </c>
      <c r="C6">
        <v>23</v>
      </c>
    </row>
    <row r="7" spans="1:3">
      <c r="A7" t="s">
        <v>13</v>
      </c>
      <c r="B7" t="s">
        <v>14</v>
      </c>
      <c r="C7">
        <v>201503</v>
      </c>
    </row>
    <row r="8" spans="1:3">
      <c r="A8" t="s">
        <v>28</v>
      </c>
      <c r="B8" t="s">
        <v>29</v>
      </c>
      <c r="C8">
        <v>100000</v>
      </c>
    </row>
    <row r="9" spans="1:3">
      <c r="A9" t="s">
        <v>36</v>
      </c>
      <c r="B9" t="s">
        <v>35</v>
      </c>
    </row>
    <row r="10" spans="1:3">
      <c r="A10" t="s">
        <v>75</v>
      </c>
      <c r="B10" t="s">
        <v>76</v>
      </c>
    </row>
    <row r="11" spans="1:3">
      <c r="A11" t="s">
        <v>77</v>
      </c>
      <c r="B11" t="s">
        <v>78</v>
      </c>
    </row>
    <row r="12" spans="1:3">
      <c r="A12" t="s">
        <v>90</v>
      </c>
      <c r="B12" t="s">
        <v>91</v>
      </c>
      <c r="C12" s="40">
        <v>0.01</v>
      </c>
    </row>
    <row r="13" spans="1:3">
      <c r="A13" t="s">
        <v>92</v>
      </c>
      <c r="B13" t="s">
        <v>0</v>
      </c>
      <c r="C13" s="147">
        <v>7</v>
      </c>
    </row>
    <row r="14" spans="1:3">
      <c r="A14" t="s">
        <v>94</v>
      </c>
      <c r="B14" t="s">
        <v>95</v>
      </c>
      <c r="C14" t="s">
        <v>321</v>
      </c>
    </row>
    <row r="15" spans="1:3">
      <c r="A15" t="s">
        <v>96</v>
      </c>
      <c r="B15" t="s">
        <v>97</v>
      </c>
      <c r="C15" s="148">
        <v>0</v>
      </c>
    </row>
    <row r="16" spans="1:3">
      <c r="A16" t="s">
        <v>98</v>
      </c>
      <c r="B16" t="s">
        <v>99</v>
      </c>
      <c r="C16">
        <v>10</v>
      </c>
    </row>
    <row r="17" spans="1:3">
      <c r="A17" t="s">
        <v>100</v>
      </c>
      <c r="B17" t="s">
        <v>101</v>
      </c>
      <c r="C17">
        <v>5</v>
      </c>
    </row>
    <row r="18" spans="1:3">
      <c r="A18" t="s">
        <v>105</v>
      </c>
      <c r="B18" t="s">
        <v>106</v>
      </c>
      <c r="C18" t="s">
        <v>321</v>
      </c>
    </row>
    <row r="19" spans="1:3">
      <c r="A19" t="s">
        <v>107</v>
      </c>
      <c r="B19" t="s">
        <v>108</v>
      </c>
      <c r="C19" t="s">
        <v>321</v>
      </c>
    </row>
    <row r="20" spans="1:3">
      <c r="A20" t="s">
        <v>110</v>
      </c>
      <c r="B20" t="s">
        <v>111</v>
      </c>
    </row>
    <row r="21" spans="1:3">
      <c r="A21" t="s">
        <v>112</v>
      </c>
      <c r="B21" t="s">
        <v>113</v>
      </c>
      <c r="C21">
        <v>1</v>
      </c>
    </row>
    <row r="22" spans="1:3">
      <c r="A22" t="s">
        <v>116</v>
      </c>
      <c r="B22" t="s">
        <v>117</v>
      </c>
      <c r="C22" s="40">
        <v>0.01</v>
      </c>
    </row>
    <row r="23" spans="1:3">
      <c r="A23" t="s">
        <v>118</v>
      </c>
      <c r="B23" t="s">
        <v>119</v>
      </c>
      <c r="C23" s="40">
        <v>0.01</v>
      </c>
    </row>
    <row r="24" spans="1:3">
      <c r="A24" t="s">
        <v>120</v>
      </c>
      <c r="B24" t="s">
        <v>121</v>
      </c>
      <c r="C24">
        <v>4</v>
      </c>
    </row>
    <row r="25" spans="1:3">
      <c r="A25" t="s">
        <v>205</v>
      </c>
      <c r="B25" t="s">
        <v>209</v>
      </c>
      <c r="C25" s="40">
        <v>0.6</v>
      </c>
    </row>
    <row r="26" spans="1:3">
      <c r="A26" t="s">
        <v>206</v>
      </c>
      <c r="B26" t="s">
        <v>210</v>
      </c>
      <c r="C26" s="40">
        <v>0.4</v>
      </c>
    </row>
    <row r="27" spans="1:3">
      <c r="A27" t="s">
        <v>207</v>
      </c>
      <c r="B27" t="s">
        <v>208</v>
      </c>
      <c r="C27" s="40">
        <v>0.6</v>
      </c>
    </row>
    <row r="28" spans="1:3">
      <c r="A28" t="s">
        <v>214</v>
      </c>
      <c r="B28" t="s">
        <v>213</v>
      </c>
      <c r="C28" s="40">
        <v>0.3</v>
      </c>
    </row>
    <row r="29" spans="1:3">
      <c r="A29" t="s">
        <v>211</v>
      </c>
      <c r="B29" t="s">
        <v>212</v>
      </c>
      <c r="C29" s="40">
        <v>0.7</v>
      </c>
    </row>
    <row r="30" spans="1:3">
      <c r="A30" t="s">
        <v>216</v>
      </c>
      <c r="B30" t="s">
        <v>217</v>
      </c>
      <c r="C30" s="146">
        <v>0.1</v>
      </c>
    </row>
    <row r="31" spans="1:3">
      <c r="A31" t="s">
        <v>282</v>
      </c>
      <c r="B31" t="s">
        <v>163</v>
      </c>
    </row>
    <row r="32" spans="1:3">
      <c r="A32" t="s">
        <v>283</v>
      </c>
      <c r="B32" t="s">
        <v>322</v>
      </c>
    </row>
    <row r="33" spans="1:2">
      <c r="A33" t="s">
        <v>284</v>
      </c>
      <c r="B33" t="s">
        <v>323</v>
      </c>
    </row>
  </sheetData>
  <pageMargins left="0.7" right="0.7" top="0.75" bottom="0.75" header="0.3" footer="0.3"/>
  <pageSetup paperSize="9" orientation="portrait" horizontalDpi="200" verticalDpi="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1:I120"/>
  <sheetViews>
    <sheetView topLeftCell="A43" zoomScale="85" zoomScaleNormal="85" workbookViewId="0">
      <selection activeCell="L71" sqref="L71"/>
    </sheetView>
  </sheetViews>
  <sheetFormatPr defaultRowHeight="15"/>
  <cols>
    <col min="1" max="1" width="2.28515625" customWidth="1"/>
    <col min="2" max="2" width="2.5703125" customWidth="1"/>
    <col min="3" max="3" width="25.28515625" customWidth="1"/>
    <col min="4" max="4" width="17.85546875" customWidth="1"/>
    <col min="5" max="5" width="16.5703125" customWidth="1"/>
    <col min="6" max="6" width="22.140625" customWidth="1"/>
    <col min="7" max="7" width="17" customWidth="1"/>
    <col min="8" max="8" width="20.5703125" customWidth="1"/>
    <col min="9" max="9" width="1.85546875" customWidth="1"/>
    <col min="10" max="10" width="2.140625" customWidth="1"/>
  </cols>
  <sheetData>
    <row r="1" spans="2:9" ht="6.75" customHeight="1" thickBot="1"/>
    <row r="2" spans="2:9" ht="6.75" customHeight="1">
      <c r="B2" s="4"/>
      <c r="C2" s="5"/>
      <c r="D2" s="5"/>
      <c r="E2" s="5"/>
      <c r="F2" s="5"/>
      <c r="G2" s="5"/>
      <c r="H2" s="5"/>
      <c r="I2" s="6"/>
    </row>
    <row r="3" spans="2:9" ht="18">
      <c r="B3" s="7"/>
      <c r="C3" s="23" t="s">
        <v>50</v>
      </c>
      <c r="D3" s="8"/>
      <c r="E3" s="9"/>
      <c r="F3" s="9"/>
      <c r="G3" s="9"/>
      <c r="H3" s="9"/>
      <c r="I3" s="10"/>
    </row>
    <row r="4" spans="2:9">
      <c r="B4" s="7"/>
      <c r="C4" s="24" t="str">
        <f>Utilitas!$B$32</f>
        <v>Jl KH. Utsman Kangkung</v>
      </c>
      <c r="D4" s="9"/>
      <c r="E4" s="9"/>
      <c r="F4" s="9"/>
      <c r="G4" s="9"/>
      <c r="H4" s="9"/>
      <c r="I4" s="10"/>
    </row>
    <row r="5" spans="2:9">
      <c r="B5" s="7"/>
      <c r="C5" s="24" t="str">
        <f>Utilitas!$B$33</f>
        <v>0856 4159 4659</v>
      </c>
      <c r="D5" s="9"/>
      <c r="E5" s="9"/>
      <c r="F5" s="9"/>
      <c r="G5" s="9"/>
      <c r="H5" s="9"/>
      <c r="I5" s="10"/>
    </row>
    <row r="6" spans="2:9" ht="6.75" customHeight="1">
      <c r="B6" s="7"/>
      <c r="C6" s="9"/>
      <c r="D6" s="9"/>
      <c r="E6" s="9"/>
      <c r="F6" s="9"/>
      <c r="G6" s="9"/>
      <c r="H6" s="9"/>
      <c r="I6" s="10"/>
    </row>
    <row r="7" spans="2:9" ht="15.75">
      <c r="B7" s="226" t="s">
        <v>56</v>
      </c>
      <c r="C7" s="227"/>
      <c r="D7" s="227"/>
      <c r="E7" s="227"/>
      <c r="F7" s="227"/>
      <c r="G7" s="227"/>
      <c r="H7" s="227"/>
      <c r="I7" s="228"/>
    </row>
    <row r="8" spans="2:9" ht="6.75" customHeight="1">
      <c r="B8" s="36"/>
      <c r="C8" s="11"/>
      <c r="D8" s="11"/>
      <c r="E8" s="11"/>
      <c r="F8" s="11"/>
      <c r="G8" s="11"/>
      <c r="H8" s="11"/>
      <c r="I8" s="37"/>
    </row>
    <row r="9" spans="2:9" ht="15.75">
      <c r="B9" s="36"/>
      <c r="C9" s="11" t="s">
        <v>37</v>
      </c>
      <c r="D9" s="225">
        <v>41654</v>
      </c>
      <c r="E9" s="225"/>
      <c r="F9" s="11"/>
      <c r="G9" s="8" t="s">
        <v>38</v>
      </c>
      <c r="H9" s="8" t="s">
        <v>39</v>
      </c>
      <c r="I9" s="37"/>
    </row>
    <row r="10" spans="2:9">
      <c r="B10" s="36"/>
      <c r="C10" s="11"/>
      <c r="D10" s="25"/>
      <c r="E10" s="26"/>
      <c r="F10" s="11"/>
      <c r="G10" s="11"/>
      <c r="H10" s="27"/>
      <c r="I10" s="37"/>
    </row>
    <row r="11" spans="2:9">
      <c r="B11" s="36"/>
      <c r="C11" s="26"/>
      <c r="D11" s="26"/>
      <c r="E11" s="11"/>
      <c r="F11" s="11"/>
      <c r="G11" s="29" t="s">
        <v>40</v>
      </c>
      <c r="H11" s="30">
        <v>1</v>
      </c>
      <c r="I11" s="37"/>
    </row>
    <row r="12" spans="2:9">
      <c r="B12" s="36"/>
      <c r="C12" s="26"/>
      <c r="D12" s="26"/>
      <c r="E12" s="11"/>
      <c r="F12" s="11"/>
      <c r="G12" s="11" t="s">
        <v>41</v>
      </c>
      <c r="H12" s="11" t="s">
        <v>42</v>
      </c>
      <c r="I12" s="37"/>
    </row>
    <row r="13" spans="2:9" ht="15.75">
      <c r="B13" s="36"/>
      <c r="C13" s="31" t="s">
        <v>53</v>
      </c>
      <c r="D13" s="26"/>
      <c r="E13" s="11"/>
      <c r="F13" s="11"/>
      <c r="G13" s="26"/>
      <c r="H13" s="26"/>
      <c r="I13" s="37"/>
    </row>
    <row r="14" spans="2:9" ht="15.75">
      <c r="B14" s="36"/>
      <c r="C14" s="11" t="s">
        <v>79</v>
      </c>
      <c r="D14" s="173">
        <v>900000</v>
      </c>
      <c r="E14" s="11"/>
      <c r="F14" s="8"/>
      <c r="G14" s="11"/>
      <c r="H14" s="11"/>
      <c r="I14" s="37"/>
    </row>
    <row r="15" spans="2:9">
      <c r="B15" s="36"/>
      <c r="C15" s="11" t="s">
        <v>44</v>
      </c>
      <c r="D15" s="173">
        <v>900000</v>
      </c>
      <c r="E15" s="11"/>
      <c r="F15" s="11"/>
      <c r="G15" s="11"/>
      <c r="H15" s="11"/>
      <c r="I15" s="37"/>
    </row>
    <row r="16" spans="2:9">
      <c r="B16" s="36"/>
      <c r="C16" s="11" t="s">
        <v>45</v>
      </c>
      <c r="D16" s="173">
        <v>90000</v>
      </c>
      <c r="E16" s="11"/>
      <c r="F16" s="11"/>
      <c r="G16" s="11"/>
      <c r="H16" s="11"/>
      <c r="I16" s="37"/>
    </row>
    <row r="17" spans="2:9" ht="6.75" customHeight="1">
      <c r="B17" s="36"/>
      <c r="C17" s="33"/>
      <c r="D17" s="174"/>
      <c r="E17" s="35"/>
      <c r="F17" s="11"/>
      <c r="G17" s="32"/>
      <c r="H17" s="32"/>
      <c r="I17" s="37"/>
    </row>
    <row r="18" spans="2:9">
      <c r="B18" s="36"/>
      <c r="C18" s="11" t="s">
        <v>46</v>
      </c>
      <c r="D18" s="173">
        <f>SUM(D14:D17)</f>
        <v>1890000</v>
      </c>
      <c r="E18" s="11"/>
      <c r="F18" s="11"/>
      <c r="G18" s="11"/>
      <c r="H18" s="32"/>
      <c r="I18" s="37"/>
    </row>
    <row r="19" spans="2:9" ht="6.75" customHeight="1" thickBot="1">
      <c r="B19" s="36"/>
      <c r="C19" s="11"/>
      <c r="D19" s="11"/>
      <c r="E19" s="11"/>
      <c r="F19" s="11"/>
      <c r="G19" s="11"/>
      <c r="H19" s="11"/>
      <c r="I19" s="37"/>
    </row>
    <row r="20" spans="2:9" ht="6.75" customHeight="1">
      <c r="B20" s="16"/>
      <c r="C20" s="17"/>
      <c r="D20" s="17"/>
      <c r="E20" s="17"/>
      <c r="F20" s="17"/>
      <c r="G20" s="17"/>
      <c r="H20" s="17"/>
      <c r="I20" s="18"/>
    </row>
    <row r="21" spans="2:9">
      <c r="B21" s="14"/>
      <c r="C21" s="12" t="s">
        <v>48</v>
      </c>
      <c r="D21" s="12"/>
      <c r="E21" s="12"/>
      <c r="F21" s="12"/>
      <c r="G21" s="12" t="s">
        <v>59</v>
      </c>
      <c r="H21" s="12"/>
      <c r="I21" s="15"/>
    </row>
    <row r="22" spans="2:9" ht="6.75" customHeight="1">
      <c r="B22" s="14"/>
      <c r="C22" s="12"/>
      <c r="D22" s="12"/>
      <c r="E22" s="12"/>
      <c r="F22" s="12"/>
      <c r="G22" s="12"/>
      <c r="H22" s="12"/>
      <c r="I22" s="15"/>
    </row>
    <row r="23" spans="2:9">
      <c r="B23" s="14"/>
      <c r="C23" s="12"/>
      <c r="D23" s="12"/>
      <c r="E23" s="12"/>
      <c r="F23" s="12"/>
      <c r="G23" s="12"/>
      <c r="H23" s="12"/>
      <c r="I23" s="15"/>
    </row>
    <row r="24" spans="2:9">
      <c r="B24" s="14"/>
      <c r="C24" s="12"/>
      <c r="D24" s="12"/>
      <c r="E24" s="12"/>
      <c r="F24" s="12"/>
      <c r="G24" s="12"/>
      <c r="H24" s="12"/>
      <c r="I24" s="15"/>
    </row>
    <row r="25" spans="2:9" ht="6.75" customHeight="1">
      <c r="B25" s="14"/>
      <c r="C25" s="12"/>
      <c r="D25" s="12"/>
      <c r="E25" s="12"/>
      <c r="F25" s="12"/>
      <c r="G25" s="12"/>
      <c r="H25" s="12"/>
      <c r="I25" s="15"/>
    </row>
    <row r="26" spans="2:9">
      <c r="B26" s="14"/>
      <c r="C26" s="13" t="s">
        <v>49</v>
      </c>
      <c r="D26" s="12"/>
      <c r="E26" s="12"/>
      <c r="F26" s="12"/>
      <c r="G26" s="13" t="str">
        <f>H12</f>
        <v>Agus Susanto</v>
      </c>
      <c r="H26" s="12"/>
      <c r="I26" s="15"/>
    </row>
    <row r="27" spans="2:9" ht="6.75" customHeight="1" thickBot="1">
      <c r="B27" s="19"/>
      <c r="C27" s="20"/>
      <c r="D27" s="20"/>
      <c r="E27" s="20"/>
      <c r="F27" s="20"/>
      <c r="G27" s="20"/>
      <c r="H27" s="20"/>
      <c r="I27" s="21"/>
    </row>
    <row r="28" spans="2:9" ht="6.75" customHeight="1">
      <c r="B28" s="22"/>
      <c r="C28" s="22"/>
      <c r="D28" s="22"/>
      <c r="E28" s="22"/>
      <c r="F28" s="22"/>
      <c r="G28" s="22"/>
      <c r="H28" s="22"/>
      <c r="I28" s="22"/>
    </row>
    <row r="29" spans="2:9" ht="6.75" customHeight="1"/>
    <row r="30" spans="2:9" ht="6.75" customHeight="1"/>
    <row r="31" spans="2:9" ht="6.75" customHeight="1" thickBot="1"/>
    <row r="32" spans="2:9" ht="6.75" customHeight="1">
      <c r="B32" s="4"/>
      <c r="C32" s="5"/>
      <c r="D32" s="5"/>
      <c r="E32" s="5"/>
      <c r="F32" s="5"/>
      <c r="G32" s="5"/>
      <c r="H32" s="5"/>
      <c r="I32" s="6"/>
    </row>
    <row r="33" spans="2:9" ht="18">
      <c r="B33" s="7"/>
      <c r="C33" s="23" t="s">
        <v>50</v>
      </c>
      <c r="D33" s="8"/>
      <c r="E33" s="9"/>
      <c r="F33" s="9"/>
      <c r="G33" s="9"/>
      <c r="H33" s="9"/>
      <c r="I33" s="10"/>
    </row>
    <row r="34" spans="2:9">
      <c r="B34" s="7"/>
      <c r="C34" s="24" t="str">
        <f>Utilitas!$B$32</f>
        <v>Jl KH. Utsman Kangkung</v>
      </c>
      <c r="D34" s="9"/>
      <c r="E34" s="9"/>
      <c r="F34" s="9"/>
      <c r="G34" s="9"/>
      <c r="H34" s="9"/>
      <c r="I34" s="10"/>
    </row>
    <row r="35" spans="2:9">
      <c r="B35" s="7"/>
      <c r="C35" s="24" t="str">
        <f>Utilitas!$B$33</f>
        <v>0856 4159 4659</v>
      </c>
      <c r="D35" s="9"/>
      <c r="E35" s="9"/>
      <c r="F35" s="9"/>
      <c r="G35" s="9"/>
      <c r="H35" s="9"/>
      <c r="I35" s="10"/>
    </row>
    <row r="36" spans="2:9" ht="6.75" customHeight="1">
      <c r="B36" s="7"/>
      <c r="C36" s="9"/>
      <c r="D36" s="9"/>
      <c r="E36" s="9"/>
      <c r="F36" s="9"/>
      <c r="G36" s="9"/>
      <c r="H36" s="9"/>
      <c r="I36" s="10"/>
    </row>
    <row r="37" spans="2:9" ht="15.75">
      <c r="B37" s="226" t="s">
        <v>54</v>
      </c>
      <c r="C37" s="227"/>
      <c r="D37" s="227"/>
      <c r="E37" s="227"/>
      <c r="F37" s="227"/>
      <c r="G37" s="227"/>
      <c r="H37" s="227"/>
      <c r="I37" s="228"/>
    </row>
    <row r="38" spans="2:9" ht="6.75" customHeight="1">
      <c r="B38" s="36"/>
      <c r="C38" s="11"/>
      <c r="D38" s="11"/>
      <c r="E38" s="11"/>
      <c r="F38" s="11"/>
      <c r="G38" s="11"/>
      <c r="H38" s="11"/>
      <c r="I38" s="37"/>
    </row>
    <row r="39" spans="2:9" ht="15.75">
      <c r="B39" s="36"/>
      <c r="C39" s="11" t="s">
        <v>37</v>
      </c>
      <c r="D39" s="225">
        <v>41654</v>
      </c>
      <c r="E39" s="225"/>
      <c r="F39" s="11"/>
      <c r="G39" s="8" t="s">
        <v>38</v>
      </c>
      <c r="H39" s="8" t="s">
        <v>39</v>
      </c>
      <c r="I39" s="37"/>
    </row>
    <row r="40" spans="2:9">
      <c r="B40" s="36"/>
      <c r="C40" s="11"/>
      <c r="D40" s="25"/>
      <c r="E40" s="26"/>
      <c r="F40" s="11"/>
      <c r="G40" s="11"/>
      <c r="H40" s="27"/>
      <c r="I40" s="37"/>
    </row>
    <row r="41" spans="2:9">
      <c r="B41" s="36"/>
      <c r="C41" s="26"/>
      <c r="D41" s="26"/>
      <c r="E41" s="11"/>
      <c r="F41" s="11"/>
      <c r="G41" s="29" t="s">
        <v>40</v>
      </c>
      <c r="H41" s="30">
        <v>1</v>
      </c>
      <c r="I41" s="37"/>
    </row>
    <row r="42" spans="2:9">
      <c r="B42" s="36"/>
      <c r="C42" s="26"/>
      <c r="D42" s="26"/>
      <c r="E42" s="11"/>
      <c r="F42" s="11"/>
      <c r="G42" s="11" t="s">
        <v>41</v>
      </c>
      <c r="H42" s="11" t="s">
        <v>42</v>
      </c>
      <c r="I42" s="37"/>
    </row>
    <row r="43" spans="2:9">
      <c r="B43" s="36"/>
      <c r="E43" s="11"/>
      <c r="F43" s="11"/>
      <c r="G43" s="26"/>
      <c r="H43" s="26"/>
      <c r="I43" s="37"/>
    </row>
    <row r="44" spans="2:9" ht="15.75">
      <c r="B44" s="36"/>
      <c r="C44" s="31" t="s">
        <v>43</v>
      </c>
      <c r="D44" s="26"/>
      <c r="E44" s="11"/>
      <c r="F44" s="31" t="s">
        <v>62</v>
      </c>
      <c r="G44" s="26"/>
      <c r="H44" s="11"/>
      <c r="I44" s="37"/>
    </row>
    <row r="45" spans="2:9">
      <c r="B45" s="36"/>
      <c r="C45" s="11" t="s">
        <v>44</v>
      </c>
      <c r="D45" s="173">
        <v>900000</v>
      </c>
      <c r="E45" s="11"/>
      <c r="F45" s="11" t="s">
        <v>60</v>
      </c>
      <c r="G45" s="26"/>
      <c r="H45" s="173">
        <f>D46</f>
        <v>90000</v>
      </c>
      <c r="I45" s="37"/>
    </row>
    <row r="46" spans="2:9" ht="15.75">
      <c r="B46" s="36"/>
      <c r="C46" s="11" t="s">
        <v>45</v>
      </c>
      <c r="D46" s="173">
        <v>90000</v>
      </c>
      <c r="E46" s="11"/>
      <c r="F46" s="8" t="s">
        <v>61</v>
      </c>
      <c r="G46" s="8"/>
      <c r="H46" s="175">
        <f>+D49</f>
        <v>0</v>
      </c>
      <c r="I46" s="37"/>
    </row>
    <row r="47" spans="2:9" ht="6.75" customHeight="1">
      <c r="B47" s="36"/>
      <c r="C47" s="33"/>
      <c r="D47" s="174"/>
      <c r="E47" s="35"/>
      <c r="F47" s="33"/>
      <c r="G47" s="34"/>
      <c r="H47" s="34"/>
      <c r="I47" s="37"/>
    </row>
    <row r="48" spans="2:9">
      <c r="B48" s="36"/>
      <c r="C48" s="11" t="s">
        <v>46</v>
      </c>
      <c r="D48" s="173">
        <f>SUM(D45:D47)</f>
        <v>990000</v>
      </c>
      <c r="E48" s="11"/>
      <c r="F48" s="11" t="s">
        <v>47</v>
      </c>
      <c r="G48" s="26"/>
      <c r="H48" s="173">
        <f>+D48-H46</f>
        <v>990000</v>
      </c>
      <c r="I48" s="37"/>
    </row>
    <row r="49" spans="2:9" ht="6.75" customHeight="1" thickBot="1">
      <c r="B49" s="36"/>
      <c r="C49" s="11"/>
      <c r="D49" s="11"/>
      <c r="E49" s="11"/>
      <c r="F49" s="11"/>
      <c r="G49" s="11"/>
      <c r="H49" s="11"/>
      <c r="I49" s="37"/>
    </row>
    <row r="50" spans="2:9" ht="6.75" customHeight="1">
      <c r="B50" s="16"/>
      <c r="C50" s="17"/>
      <c r="D50" s="17"/>
      <c r="E50" s="17"/>
      <c r="F50" s="17"/>
      <c r="G50" s="17"/>
      <c r="H50" s="17"/>
      <c r="I50" s="18"/>
    </row>
    <row r="51" spans="2:9">
      <c r="B51" s="14"/>
      <c r="C51" s="12" t="s">
        <v>48</v>
      </c>
      <c r="D51" s="12"/>
      <c r="E51" s="12"/>
      <c r="F51" s="12"/>
      <c r="G51" s="12" t="s">
        <v>59</v>
      </c>
      <c r="H51" s="12"/>
      <c r="I51" s="15"/>
    </row>
    <row r="52" spans="2:9" ht="6.75" customHeight="1">
      <c r="B52" s="14"/>
      <c r="C52" s="12"/>
      <c r="D52" s="12"/>
      <c r="E52" s="12"/>
      <c r="F52" s="12"/>
      <c r="G52" s="12"/>
      <c r="H52" s="12"/>
      <c r="I52" s="15"/>
    </row>
    <row r="53" spans="2:9">
      <c r="B53" s="14"/>
      <c r="C53" s="12"/>
      <c r="D53" s="12"/>
      <c r="E53" s="12"/>
      <c r="F53" s="12"/>
      <c r="G53" s="12"/>
      <c r="H53" s="12"/>
      <c r="I53" s="15"/>
    </row>
    <row r="54" spans="2:9">
      <c r="B54" s="14"/>
      <c r="C54" s="12"/>
      <c r="D54" s="12"/>
      <c r="E54" s="12"/>
      <c r="F54" s="12"/>
      <c r="G54" s="12"/>
      <c r="H54" s="12"/>
      <c r="I54" s="15"/>
    </row>
    <row r="55" spans="2:9" ht="6.75" customHeight="1">
      <c r="B55" s="14"/>
      <c r="C55" s="12"/>
      <c r="D55" s="12"/>
      <c r="E55" s="12"/>
      <c r="F55" s="12"/>
      <c r="G55" s="12"/>
      <c r="H55" s="12"/>
      <c r="I55" s="15"/>
    </row>
    <row r="56" spans="2:9">
      <c r="B56" s="14"/>
      <c r="C56" s="13" t="s">
        <v>49</v>
      </c>
      <c r="D56" s="12"/>
      <c r="E56" s="12"/>
      <c r="F56" s="12"/>
      <c r="G56" s="13" t="str">
        <f>H42</f>
        <v>Agus Susanto</v>
      </c>
      <c r="H56" s="12"/>
      <c r="I56" s="15"/>
    </row>
    <row r="57" spans="2:9" ht="6.75" customHeight="1" thickBot="1">
      <c r="B57" s="19"/>
      <c r="C57" s="20"/>
      <c r="D57" s="20"/>
      <c r="E57" s="20"/>
      <c r="F57" s="20"/>
      <c r="G57" s="20"/>
      <c r="H57" s="20"/>
      <c r="I57" s="21"/>
    </row>
    <row r="58" spans="2:9" ht="6.75" customHeight="1"/>
    <row r="59" spans="2:9" ht="6.75" customHeight="1"/>
    <row r="60" spans="2:9" ht="6.75" customHeight="1"/>
    <row r="61" spans="2:9" ht="6.75" customHeight="1" thickBot="1"/>
    <row r="62" spans="2:9" ht="6.75" customHeight="1">
      <c r="B62" s="4"/>
      <c r="C62" s="5"/>
      <c r="D62" s="5"/>
      <c r="E62" s="5"/>
      <c r="F62" s="5"/>
      <c r="G62" s="5"/>
      <c r="H62" s="5"/>
      <c r="I62" s="6"/>
    </row>
    <row r="63" spans="2:9" ht="18">
      <c r="B63" s="7"/>
      <c r="C63" s="23" t="s">
        <v>50</v>
      </c>
      <c r="D63" s="8"/>
      <c r="E63" s="9"/>
      <c r="F63" s="9"/>
      <c r="G63" s="9"/>
      <c r="H63" s="9"/>
      <c r="I63" s="10"/>
    </row>
    <row r="64" spans="2:9">
      <c r="B64" s="7"/>
      <c r="C64" s="24" t="str">
        <f>Utilitas!$B$32</f>
        <v>Jl KH. Utsman Kangkung</v>
      </c>
      <c r="D64" s="9"/>
      <c r="E64" s="9"/>
      <c r="F64" s="9"/>
      <c r="G64" s="9"/>
      <c r="H64" s="9"/>
      <c r="I64" s="10"/>
    </row>
    <row r="65" spans="2:9">
      <c r="B65" s="7"/>
      <c r="C65" s="24" t="str">
        <f>Utilitas!$B$33</f>
        <v>0856 4159 4659</v>
      </c>
      <c r="D65" s="9"/>
      <c r="E65" s="9"/>
      <c r="F65" s="9"/>
      <c r="G65" s="9"/>
      <c r="H65" s="9"/>
      <c r="I65" s="10"/>
    </row>
    <row r="66" spans="2:9" ht="6.75" customHeight="1">
      <c r="B66" s="7"/>
      <c r="C66" s="9"/>
      <c r="D66" s="9"/>
      <c r="E66" s="9"/>
      <c r="F66" s="9"/>
      <c r="G66" s="9"/>
      <c r="H66" s="9"/>
      <c r="I66" s="10"/>
    </row>
    <row r="67" spans="2:9" ht="15.75">
      <c r="B67" s="222" t="s">
        <v>55</v>
      </c>
      <c r="C67" s="223"/>
      <c r="D67" s="223"/>
      <c r="E67" s="223"/>
      <c r="F67" s="223"/>
      <c r="G67" s="223"/>
      <c r="H67" s="223"/>
      <c r="I67" s="224"/>
    </row>
    <row r="68" spans="2:9" ht="6.75" customHeight="1">
      <c r="B68" s="14"/>
      <c r="C68" s="12"/>
      <c r="D68" s="12"/>
      <c r="E68" s="12"/>
      <c r="F68" s="12"/>
      <c r="G68" s="12"/>
      <c r="H68" s="12"/>
      <c r="I68" s="15"/>
    </row>
    <row r="69" spans="2:9" ht="15.75">
      <c r="B69" s="14"/>
      <c r="C69" s="11" t="s">
        <v>37</v>
      </c>
      <c r="D69" s="225">
        <v>41988</v>
      </c>
      <c r="E69" s="225"/>
      <c r="F69" s="11"/>
      <c r="G69" s="8" t="s">
        <v>38</v>
      </c>
      <c r="H69" s="8" t="s">
        <v>39</v>
      </c>
      <c r="I69" s="15"/>
    </row>
    <row r="70" spans="2:9">
      <c r="B70" s="14"/>
      <c r="C70" s="11"/>
      <c r="D70" s="25"/>
      <c r="E70" s="26"/>
      <c r="F70" s="11"/>
      <c r="G70" s="11" t="s">
        <v>57</v>
      </c>
      <c r="H70" s="27" t="s">
        <v>58</v>
      </c>
      <c r="I70" s="15"/>
    </row>
    <row r="71" spans="2:9">
      <c r="B71" s="14"/>
      <c r="C71" s="26"/>
      <c r="D71" s="26"/>
      <c r="E71" s="11"/>
      <c r="F71" s="11"/>
      <c r="G71" s="28" t="s">
        <v>66</v>
      </c>
      <c r="H71" s="28"/>
      <c r="I71" s="15"/>
    </row>
    <row r="72" spans="2:9">
      <c r="B72" s="14"/>
      <c r="C72" s="26"/>
      <c r="D72" s="26"/>
      <c r="E72" s="11"/>
      <c r="F72" s="11"/>
      <c r="G72" s="29" t="s">
        <v>40</v>
      </c>
      <c r="H72" s="30">
        <v>1</v>
      </c>
      <c r="I72" s="15"/>
    </row>
    <row r="73" spans="2:9">
      <c r="B73" s="14"/>
      <c r="E73" s="11"/>
      <c r="F73" s="11"/>
      <c r="G73" s="11" t="s">
        <v>41</v>
      </c>
      <c r="H73" s="11" t="s">
        <v>42</v>
      </c>
      <c r="I73" s="15"/>
    </row>
    <row r="74" spans="2:9" ht="15.75">
      <c r="B74" s="14"/>
      <c r="C74" s="31" t="s">
        <v>53</v>
      </c>
      <c r="D74" s="26"/>
      <c r="E74" s="11"/>
      <c r="F74" s="8"/>
      <c r="G74" s="11"/>
      <c r="H74" s="11"/>
      <c r="I74" s="15"/>
    </row>
    <row r="75" spans="2:9">
      <c r="B75" s="14"/>
      <c r="C75" s="11" t="s">
        <v>63</v>
      </c>
      <c r="D75" s="173">
        <v>6000000</v>
      </c>
      <c r="E75" s="11"/>
      <c r="F75" s="11"/>
      <c r="G75" s="11"/>
      <c r="H75" s="11"/>
      <c r="I75" s="15"/>
    </row>
    <row r="76" spans="2:9">
      <c r="B76" s="14"/>
      <c r="C76" s="11" t="s">
        <v>64</v>
      </c>
      <c r="D76" s="173">
        <v>600000</v>
      </c>
      <c r="E76" s="11"/>
      <c r="F76" s="11"/>
      <c r="G76" s="11"/>
      <c r="H76" s="11"/>
      <c r="I76" s="15"/>
    </row>
    <row r="77" spans="2:9">
      <c r="B77" s="14"/>
      <c r="C77" s="11" t="s">
        <v>65</v>
      </c>
      <c r="D77" s="173">
        <v>60000</v>
      </c>
      <c r="E77" s="35"/>
      <c r="F77" s="11"/>
      <c r="G77" s="32"/>
      <c r="H77" s="32"/>
      <c r="I77" s="15"/>
    </row>
    <row r="78" spans="2:9" ht="15.75">
      <c r="B78" s="14"/>
      <c r="C78" s="39" t="s">
        <v>67</v>
      </c>
      <c r="D78" s="38"/>
      <c r="E78" s="11"/>
      <c r="F78" s="11"/>
      <c r="G78" s="11"/>
      <c r="H78" s="32"/>
      <c r="I78" s="15"/>
    </row>
    <row r="79" spans="2:9" ht="6.75" customHeight="1" thickBot="1">
      <c r="B79" s="14"/>
      <c r="C79" s="12"/>
      <c r="D79" s="12"/>
      <c r="E79" s="12"/>
      <c r="F79" s="12"/>
      <c r="G79" s="12"/>
      <c r="H79" s="12"/>
      <c r="I79" s="15"/>
    </row>
    <row r="80" spans="2:9" ht="6.75" customHeight="1">
      <c r="B80" s="16"/>
      <c r="C80" s="17"/>
      <c r="D80" s="17"/>
      <c r="E80" s="17"/>
      <c r="F80" s="17"/>
      <c r="G80" s="17"/>
      <c r="H80" s="17"/>
      <c r="I80" s="18"/>
    </row>
    <row r="81" spans="2:9">
      <c r="B81" s="14"/>
      <c r="C81" s="12" t="s">
        <v>48</v>
      </c>
      <c r="D81" s="12"/>
      <c r="E81" s="12"/>
      <c r="F81" s="12"/>
      <c r="G81" s="12" t="s">
        <v>59</v>
      </c>
      <c r="H81" s="12"/>
      <c r="I81" s="15"/>
    </row>
    <row r="82" spans="2:9" ht="6.75" customHeight="1">
      <c r="B82" s="14"/>
      <c r="C82" s="12"/>
      <c r="D82" s="12"/>
      <c r="E82" s="12"/>
      <c r="F82" s="12"/>
      <c r="G82" s="12"/>
      <c r="H82" s="12"/>
      <c r="I82" s="15"/>
    </row>
    <row r="83" spans="2:9">
      <c r="B83" s="14"/>
      <c r="C83" s="12"/>
      <c r="D83" s="12"/>
      <c r="E83" s="12"/>
      <c r="F83" s="12"/>
      <c r="G83" s="12"/>
      <c r="H83" s="12"/>
      <c r="I83" s="15"/>
    </row>
    <row r="84" spans="2:9">
      <c r="B84" s="14"/>
      <c r="C84" s="12"/>
      <c r="D84" s="12"/>
      <c r="E84" s="12"/>
      <c r="F84" s="12"/>
      <c r="G84" s="12"/>
      <c r="H84" s="12"/>
      <c r="I84" s="15"/>
    </row>
    <row r="85" spans="2:9" ht="6.75" customHeight="1">
      <c r="B85" s="14"/>
      <c r="C85" s="12"/>
      <c r="D85" s="12"/>
      <c r="E85" s="12"/>
      <c r="F85" s="12"/>
      <c r="G85" s="12"/>
      <c r="H85" s="12"/>
      <c r="I85" s="15"/>
    </row>
    <row r="86" spans="2:9">
      <c r="B86" s="14"/>
      <c r="C86" s="13" t="s">
        <v>49</v>
      </c>
      <c r="D86" s="12"/>
      <c r="E86" s="12"/>
      <c r="F86" s="12"/>
      <c r="G86" s="13" t="str">
        <f>H73</f>
        <v>Agus Susanto</v>
      </c>
      <c r="H86" s="12"/>
      <c r="I86" s="15"/>
    </row>
    <row r="87" spans="2:9" ht="6.75" customHeight="1" thickBot="1">
      <c r="B87" s="19"/>
      <c r="C87" s="20"/>
      <c r="D87" s="20"/>
      <c r="E87" s="20"/>
      <c r="F87" s="20"/>
      <c r="G87" s="20"/>
      <c r="H87" s="20"/>
      <c r="I87" s="21"/>
    </row>
    <row r="88" spans="2:9" ht="6.75" customHeight="1"/>
    <row r="89" spans="2:9" ht="6.75" customHeight="1"/>
    <row r="90" spans="2:9" ht="6.75" customHeight="1"/>
    <row r="91" spans="2:9" ht="6.75" customHeight="1" thickBot="1"/>
    <row r="92" spans="2:9" ht="6.75" customHeight="1">
      <c r="B92" s="4"/>
      <c r="C92" s="5"/>
      <c r="D92" s="5"/>
      <c r="E92" s="5"/>
      <c r="F92" s="5"/>
      <c r="G92" s="5"/>
      <c r="H92" s="5"/>
      <c r="I92" s="6"/>
    </row>
    <row r="93" spans="2:9" ht="18">
      <c r="B93" s="7"/>
      <c r="C93" s="23" t="s">
        <v>50</v>
      </c>
      <c r="D93" s="8"/>
      <c r="E93" s="9"/>
      <c r="F93" s="9"/>
      <c r="G93" s="9"/>
      <c r="H93" s="9"/>
      <c r="I93" s="10"/>
    </row>
    <row r="94" spans="2:9">
      <c r="B94" s="7"/>
      <c r="C94" s="24" t="str">
        <f>Utilitas!$B$32</f>
        <v>Jl KH. Utsman Kangkung</v>
      </c>
      <c r="D94" s="9"/>
      <c r="E94" s="9"/>
      <c r="F94" s="9"/>
      <c r="G94" s="9"/>
      <c r="H94" s="9"/>
      <c r="I94" s="10"/>
    </row>
    <row r="95" spans="2:9">
      <c r="B95" s="7"/>
      <c r="C95" s="24" t="str">
        <f>Utilitas!$B$33</f>
        <v>0856 4159 4659</v>
      </c>
      <c r="D95" s="9"/>
      <c r="E95" s="9"/>
      <c r="F95" s="9"/>
      <c r="G95" s="9"/>
      <c r="H95" s="9"/>
      <c r="I95" s="10"/>
    </row>
    <row r="96" spans="2:9" ht="6.75" customHeight="1">
      <c r="B96" s="7"/>
      <c r="C96" s="9"/>
      <c r="D96" s="9"/>
      <c r="E96" s="9"/>
      <c r="F96" s="9"/>
      <c r="G96" s="9"/>
      <c r="H96" s="9"/>
      <c r="I96" s="10"/>
    </row>
    <row r="97" spans="2:9" ht="15.75">
      <c r="B97" s="222" t="s">
        <v>80</v>
      </c>
      <c r="C97" s="223"/>
      <c r="D97" s="223"/>
      <c r="E97" s="223"/>
      <c r="F97" s="223"/>
      <c r="G97" s="223"/>
      <c r="H97" s="223"/>
      <c r="I97" s="224"/>
    </row>
    <row r="98" spans="2:9" ht="6.75" customHeight="1">
      <c r="B98" s="14"/>
      <c r="C98" s="12"/>
      <c r="D98" s="12"/>
      <c r="E98" s="12"/>
      <c r="F98" s="12"/>
      <c r="G98" s="12"/>
      <c r="H98" s="12"/>
      <c r="I98" s="15"/>
    </row>
    <row r="99" spans="2:9" ht="15.75">
      <c r="B99" s="14"/>
      <c r="C99" s="11" t="s">
        <v>37</v>
      </c>
      <c r="D99" s="225">
        <v>41988</v>
      </c>
      <c r="E99" s="225"/>
      <c r="F99" s="11"/>
      <c r="G99" s="8" t="s">
        <v>38</v>
      </c>
      <c r="H99" s="8" t="s">
        <v>39</v>
      </c>
      <c r="I99" s="15"/>
    </row>
    <row r="100" spans="2:9">
      <c r="B100" s="14"/>
      <c r="C100" s="11" t="s">
        <v>63</v>
      </c>
      <c r="D100" s="25"/>
      <c r="E100" s="26"/>
      <c r="F100" s="11"/>
      <c r="G100" s="11" t="s">
        <v>57</v>
      </c>
      <c r="H100" s="27" t="s">
        <v>58</v>
      </c>
      <c r="I100" s="15"/>
    </row>
    <row r="101" spans="2:9">
      <c r="B101" s="14"/>
      <c r="C101" s="11" t="s">
        <v>68</v>
      </c>
      <c r="D101" s="26"/>
      <c r="E101" s="11"/>
      <c r="F101" s="11"/>
      <c r="G101" s="28" t="s">
        <v>66</v>
      </c>
      <c r="H101" s="28"/>
      <c r="I101" s="15"/>
    </row>
    <row r="102" spans="2:9">
      <c r="B102" s="14"/>
      <c r="C102" s="26"/>
      <c r="D102" s="26"/>
      <c r="E102" s="11"/>
      <c r="F102" s="11"/>
      <c r="G102" s="29" t="s">
        <v>40</v>
      </c>
      <c r="H102" s="30">
        <v>1</v>
      </c>
      <c r="I102" s="15"/>
    </row>
    <row r="103" spans="2:9">
      <c r="B103" s="14"/>
      <c r="E103" s="11"/>
      <c r="F103" s="11"/>
      <c r="G103" s="11" t="s">
        <v>41</v>
      </c>
      <c r="H103" s="11" t="s">
        <v>42</v>
      </c>
      <c r="I103" s="15"/>
    </row>
    <row r="104" spans="2:9" ht="15.75">
      <c r="B104" s="14"/>
      <c r="C104" s="31" t="s">
        <v>53</v>
      </c>
      <c r="D104" s="26"/>
      <c r="E104" s="11"/>
      <c r="F104" s="8"/>
      <c r="G104" s="11"/>
      <c r="H104" s="11"/>
      <c r="I104" s="15"/>
    </row>
    <row r="105" spans="2:9">
      <c r="B105" s="14"/>
      <c r="C105" s="11" t="s">
        <v>64</v>
      </c>
      <c r="D105" s="173">
        <v>6000000</v>
      </c>
      <c r="E105" s="11"/>
      <c r="F105" s="11"/>
      <c r="G105" s="11" t="s">
        <v>273</v>
      </c>
      <c r="H105" s="173"/>
      <c r="I105" s="15"/>
    </row>
    <row r="106" spans="2:9">
      <c r="B106" s="14"/>
      <c r="C106" s="11" t="s">
        <v>65</v>
      </c>
      <c r="D106" s="173">
        <v>600000</v>
      </c>
      <c r="E106" s="11"/>
      <c r="F106" s="11"/>
      <c r="G106" s="11"/>
      <c r="H106" s="11"/>
      <c r="I106" s="15"/>
    </row>
    <row r="107" spans="2:9" ht="6.75" customHeight="1">
      <c r="B107" s="14"/>
      <c r="C107" s="33"/>
      <c r="D107" s="174"/>
      <c r="E107" s="35"/>
      <c r="F107" s="11"/>
      <c r="G107" s="32"/>
      <c r="H107" s="32"/>
      <c r="I107" s="15"/>
    </row>
    <row r="108" spans="2:9">
      <c r="B108" s="14"/>
      <c r="C108" s="11" t="s">
        <v>46</v>
      </c>
      <c r="D108" s="173">
        <f>+SUM(D105:D107)</f>
        <v>6600000</v>
      </c>
      <c r="E108" s="35"/>
      <c r="F108" s="11"/>
      <c r="G108" s="32"/>
      <c r="H108" s="32"/>
      <c r="I108" s="15"/>
    </row>
    <row r="109" spans="2:9" ht="6.75" customHeight="1" thickBot="1">
      <c r="B109" s="14"/>
      <c r="C109" s="12"/>
      <c r="D109" s="12"/>
      <c r="E109" s="12"/>
      <c r="F109" s="12"/>
      <c r="G109" s="12"/>
      <c r="H109" s="12"/>
      <c r="I109" s="15"/>
    </row>
    <row r="110" spans="2:9" ht="6.75" customHeight="1">
      <c r="B110" s="16"/>
      <c r="C110" s="17"/>
      <c r="D110" s="17"/>
      <c r="E110" s="17"/>
      <c r="F110" s="17"/>
      <c r="G110" s="17"/>
      <c r="H110" s="17"/>
      <c r="I110" s="18"/>
    </row>
    <row r="111" spans="2:9">
      <c r="B111" s="14"/>
      <c r="C111" s="12" t="s">
        <v>48</v>
      </c>
      <c r="D111" s="12"/>
      <c r="E111" s="12"/>
      <c r="F111" s="12"/>
      <c r="G111" s="12" t="s">
        <v>59</v>
      </c>
      <c r="H111" s="12"/>
      <c r="I111" s="15"/>
    </row>
    <row r="112" spans="2:9" ht="6.75" customHeight="1">
      <c r="B112" s="14"/>
      <c r="C112" s="12"/>
      <c r="D112" s="12"/>
      <c r="E112" s="12"/>
      <c r="F112" s="12"/>
      <c r="G112" s="12"/>
      <c r="H112" s="12"/>
      <c r="I112" s="15"/>
    </row>
    <row r="113" spans="2:9">
      <c r="B113" s="14"/>
      <c r="C113" s="12"/>
      <c r="D113" s="12"/>
      <c r="E113" s="12"/>
      <c r="F113" s="12"/>
      <c r="G113" s="12"/>
      <c r="H113" s="12"/>
      <c r="I113" s="15"/>
    </row>
    <row r="114" spans="2:9">
      <c r="B114" s="14"/>
      <c r="C114" s="12"/>
      <c r="D114" s="12"/>
      <c r="E114" s="12"/>
      <c r="F114" s="12"/>
      <c r="G114" s="12"/>
      <c r="H114" s="12"/>
      <c r="I114" s="15"/>
    </row>
    <row r="115" spans="2:9" ht="6.75" customHeight="1">
      <c r="B115" s="14"/>
      <c r="C115" s="12"/>
      <c r="D115" s="12"/>
      <c r="E115" s="12"/>
      <c r="F115" s="12"/>
      <c r="G115" s="12"/>
      <c r="H115" s="12"/>
      <c r="I115" s="15"/>
    </row>
    <row r="116" spans="2:9">
      <c r="B116" s="14"/>
      <c r="C116" s="13" t="s">
        <v>49</v>
      </c>
      <c r="D116" s="12"/>
      <c r="E116" s="12"/>
      <c r="F116" s="12"/>
      <c r="G116" s="13" t="str">
        <f>H103</f>
        <v>Agus Susanto</v>
      </c>
      <c r="H116" s="12"/>
      <c r="I116" s="15"/>
    </row>
    <row r="117" spans="2:9" ht="6.75" customHeight="1" thickBot="1">
      <c r="B117" s="19"/>
      <c r="C117" s="20"/>
      <c r="D117" s="20"/>
      <c r="E117" s="20"/>
      <c r="F117" s="20"/>
      <c r="G117" s="20"/>
      <c r="H117" s="20"/>
      <c r="I117" s="21"/>
    </row>
    <row r="118" spans="2:9" ht="6.75" customHeight="1"/>
    <row r="119" spans="2:9" ht="6.75" customHeight="1"/>
    <row r="120" spans="2:9" ht="6.75" customHeight="1"/>
  </sheetData>
  <mergeCells count="8">
    <mergeCell ref="B97:I97"/>
    <mergeCell ref="D99:E99"/>
    <mergeCell ref="B7:I7"/>
    <mergeCell ref="D9:E9"/>
    <mergeCell ref="B37:I37"/>
    <mergeCell ref="D39:E39"/>
    <mergeCell ref="B67:I67"/>
    <mergeCell ref="D69:E69"/>
  </mergeCells>
  <pageMargins left="0.15748031496062992" right="0.15748031496062992" top="0.39370078740157483" bottom="0.39370078740157483" header="0.31496062992125984" footer="0.31496062992125984"/>
  <pageSetup paperSize="9" scale="78" orientation="portrait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B1:I30"/>
  <sheetViews>
    <sheetView zoomScale="85" zoomScaleNormal="85" workbookViewId="0"/>
  </sheetViews>
  <sheetFormatPr defaultRowHeight="15"/>
  <cols>
    <col min="1" max="1" width="2.28515625" customWidth="1"/>
    <col min="2" max="2" width="2.5703125" customWidth="1"/>
    <col min="3" max="3" width="25.28515625" customWidth="1"/>
    <col min="4" max="4" width="17.85546875" customWidth="1"/>
    <col min="5" max="5" width="16.5703125" customWidth="1"/>
    <col min="6" max="6" width="22.140625" customWidth="1"/>
    <col min="7" max="7" width="17" customWidth="1"/>
    <col min="8" max="8" width="20.5703125" customWidth="1"/>
    <col min="9" max="9" width="1.85546875" customWidth="1"/>
    <col min="10" max="10" width="2.140625" customWidth="1"/>
  </cols>
  <sheetData>
    <row r="1" spans="2:9" ht="6.75" customHeight="1" thickBot="1"/>
    <row r="2" spans="2:9" ht="6.75" customHeight="1">
      <c r="B2" s="4"/>
      <c r="C2" s="5"/>
      <c r="D2" s="5"/>
      <c r="E2" s="5"/>
      <c r="F2" s="5"/>
      <c r="G2" s="5"/>
      <c r="H2" s="5"/>
      <c r="I2" s="6"/>
    </row>
    <row r="3" spans="2:9" ht="18">
      <c r="B3" s="7"/>
      <c r="C3" s="23" t="s">
        <v>50</v>
      </c>
      <c r="D3" s="8"/>
      <c r="E3" s="9"/>
      <c r="F3" s="9"/>
      <c r="G3" s="9"/>
      <c r="H3" s="9"/>
      <c r="I3" s="10"/>
    </row>
    <row r="4" spans="2:9">
      <c r="B4" s="7"/>
      <c r="C4" s="24" t="s">
        <v>51</v>
      </c>
      <c r="D4" s="9"/>
      <c r="E4" s="9"/>
      <c r="F4" s="9"/>
      <c r="G4" s="9"/>
      <c r="H4" s="9"/>
      <c r="I4" s="10"/>
    </row>
    <row r="5" spans="2:9">
      <c r="B5" s="7"/>
      <c r="C5" s="24" t="s">
        <v>52</v>
      </c>
      <c r="D5" s="9"/>
      <c r="E5" s="9"/>
      <c r="F5" s="9"/>
      <c r="G5" s="9"/>
      <c r="H5" s="9"/>
      <c r="I5" s="10"/>
    </row>
    <row r="6" spans="2:9" ht="6.75" customHeight="1">
      <c r="B6" s="7"/>
      <c r="C6" s="9"/>
      <c r="D6" s="9"/>
      <c r="E6" s="9"/>
      <c r="F6" s="9"/>
      <c r="G6" s="9"/>
      <c r="H6" s="9"/>
      <c r="I6" s="10"/>
    </row>
    <row r="7" spans="2:9" ht="15.75">
      <c r="B7" s="222" t="s">
        <v>80</v>
      </c>
      <c r="C7" s="223"/>
      <c r="D7" s="223"/>
      <c r="E7" s="223"/>
      <c r="F7" s="223"/>
      <c r="G7" s="223"/>
      <c r="H7" s="223"/>
      <c r="I7" s="224"/>
    </row>
    <row r="8" spans="2:9" ht="6.75" customHeight="1">
      <c r="B8" s="14"/>
      <c r="C8" s="12"/>
      <c r="D8" s="12"/>
      <c r="E8" s="12"/>
      <c r="F8" s="12"/>
      <c r="G8" s="12"/>
      <c r="H8" s="12"/>
      <c r="I8" s="15"/>
    </row>
    <row r="9" spans="2:9" ht="15.75">
      <c r="B9" s="14"/>
      <c r="C9" s="11" t="s">
        <v>37</v>
      </c>
      <c r="D9" s="225">
        <v>42010</v>
      </c>
      <c r="E9" s="225"/>
      <c r="F9" s="11"/>
      <c r="G9" s="8" t="s">
        <v>38</v>
      </c>
      <c r="H9" s="8" t="s">
        <v>281</v>
      </c>
      <c r="I9" s="15"/>
    </row>
    <row r="10" spans="2:9">
      <c r="B10" s="14"/>
      <c r="C10" s="11" t="s">
        <v>63</v>
      </c>
      <c r="D10" s="25">
        <v>5000000</v>
      </c>
      <c r="E10" s="26"/>
      <c r="F10" s="11"/>
      <c r="G10" s="11" t="s">
        <v>57</v>
      </c>
      <c r="H10" s="27" t="s">
        <v>201</v>
      </c>
      <c r="I10" s="15"/>
    </row>
    <row r="11" spans="2:9">
      <c r="B11" s="14"/>
      <c r="C11" s="11" t="s">
        <v>68</v>
      </c>
      <c r="D11" s="26">
        <v>1</v>
      </c>
      <c r="E11" s="11"/>
      <c r="F11" s="11"/>
      <c r="G11" s="28" t="s">
        <v>66</v>
      </c>
      <c r="H11" s="28" t="s">
        <v>275</v>
      </c>
      <c r="I11" s="15"/>
    </row>
    <row r="12" spans="2:9">
      <c r="B12" s="14"/>
      <c r="C12" s="26"/>
      <c r="D12" s="26"/>
      <c r="E12" s="11"/>
      <c r="F12" s="11"/>
      <c r="G12" s="29" t="s">
        <v>40</v>
      </c>
      <c r="H12" s="30">
        <v>5</v>
      </c>
      <c r="I12" s="15"/>
    </row>
    <row r="13" spans="2:9">
      <c r="B13" s="14"/>
      <c r="E13" s="11"/>
      <c r="F13" s="11"/>
      <c r="G13" s="11" t="s">
        <v>41</v>
      </c>
      <c r="H13" s="11" t="s">
        <v>229</v>
      </c>
      <c r="I13" s="15"/>
    </row>
    <row r="14" spans="2:9" ht="15.75">
      <c r="B14" s="14"/>
      <c r="C14" s="31" t="s">
        <v>53</v>
      </c>
      <c r="D14" s="26"/>
      <c r="E14" s="11"/>
      <c r="F14" s="8"/>
      <c r="G14" s="11"/>
      <c r="H14" s="11"/>
      <c r="I14" s="15"/>
    </row>
    <row r="15" spans="2:9">
      <c r="B15" s="14"/>
      <c r="C15" s="11" t="s">
        <v>64</v>
      </c>
      <c r="D15" s="32">
        <v>500000</v>
      </c>
      <c r="E15" s="11"/>
      <c r="F15" s="11"/>
      <c r="G15" s="11" t="s">
        <v>273</v>
      </c>
      <c r="H15" s="32">
        <v>4500000</v>
      </c>
      <c r="I15" s="15"/>
    </row>
    <row r="16" spans="2:9">
      <c r="B16" s="14"/>
      <c r="C16" s="11" t="s">
        <v>65</v>
      </c>
      <c r="D16" s="32">
        <v>0</v>
      </c>
      <c r="E16" s="11"/>
      <c r="F16" s="11"/>
      <c r="G16" s="11"/>
      <c r="H16" s="11"/>
      <c r="I16" s="15"/>
    </row>
    <row r="17" spans="2:9" ht="6.75" customHeight="1">
      <c r="B17" s="14"/>
      <c r="C17" s="33"/>
      <c r="D17" s="34"/>
      <c r="E17" s="35"/>
      <c r="F17" s="11"/>
      <c r="G17" s="32"/>
      <c r="H17" s="32"/>
      <c r="I17" s="15"/>
    </row>
    <row r="18" spans="2:9">
      <c r="B18" s="14"/>
      <c r="C18" s="11" t="s">
        <v>46</v>
      </c>
      <c r="D18" s="32">
        <f>+SUM(D15:D17)</f>
        <v>500000</v>
      </c>
      <c r="E18" s="35"/>
      <c r="F18" s="11"/>
      <c r="G18" s="32"/>
      <c r="H18" s="32"/>
      <c r="I18" s="15"/>
    </row>
    <row r="19" spans="2:9" ht="6.75" customHeight="1" thickBot="1">
      <c r="B19" s="14"/>
      <c r="C19" s="12"/>
      <c r="D19" s="12"/>
      <c r="E19" s="12"/>
      <c r="F19" s="12"/>
      <c r="G19" s="12"/>
      <c r="H19" s="12"/>
      <c r="I19" s="15"/>
    </row>
    <row r="20" spans="2:9" ht="6.75" customHeight="1">
      <c r="B20" s="16"/>
      <c r="C20" s="17"/>
      <c r="D20" s="17"/>
      <c r="E20" s="17"/>
      <c r="F20" s="17"/>
      <c r="G20" s="17"/>
      <c r="H20" s="17"/>
      <c r="I20" s="18"/>
    </row>
    <row r="21" spans="2:9">
      <c r="B21" s="14"/>
      <c r="C21" s="12" t="s">
        <v>48</v>
      </c>
      <c r="D21" s="12"/>
      <c r="E21" s="12"/>
      <c r="F21" s="12"/>
      <c r="G21" s="12" t="s">
        <v>59</v>
      </c>
      <c r="H21" s="12"/>
      <c r="I21" s="15"/>
    </row>
    <row r="22" spans="2:9" ht="6.75" customHeight="1">
      <c r="B22" s="14"/>
      <c r="C22" s="12"/>
      <c r="D22" s="12"/>
      <c r="E22" s="12"/>
      <c r="F22" s="12"/>
      <c r="G22" s="12"/>
      <c r="H22" s="12"/>
      <c r="I22" s="15"/>
    </row>
    <row r="23" spans="2:9" ht="6.75" customHeight="1">
      <c r="B23" s="14"/>
      <c r="C23" s="12"/>
      <c r="D23" s="12"/>
      <c r="E23" s="12"/>
      <c r="F23" s="12"/>
      <c r="G23" s="12"/>
      <c r="H23" s="12"/>
      <c r="I23" s="15"/>
    </row>
    <row r="24" spans="2:9">
      <c r="B24" s="14"/>
      <c r="C24" s="12"/>
      <c r="D24" s="12"/>
      <c r="E24" s="12"/>
      <c r="F24" s="12"/>
      <c r="G24" s="12"/>
      <c r="H24" s="12"/>
      <c r="I24" s="15"/>
    </row>
    <row r="25" spans="2:9" ht="6.75" customHeight="1">
      <c r="B25" s="14"/>
      <c r="C25" s="12"/>
      <c r="D25" s="12"/>
      <c r="E25" s="12"/>
      <c r="F25" s="12"/>
      <c r="G25" s="12"/>
      <c r="H25" s="12"/>
      <c r="I25" s="15"/>
    </row>
    <row r="26" spans="2:9">
      <c r="B26" s="14"/>
      <c r="C26" s="13" t="s">
        <v>141</v>
      </c>
      <c r="D26" s="12"/>
      <c r="E26" s="12"/>
      <c r="F26" s="12"/>
      <c r="G26" s="13" t="s">
        <v>229</v>
      </c>
      <c r="H26" s="12"/>
      <c r="I26" s="15"/>
    </row>
    <row r="27" spans="2:9" ht="6.75" customHeight="1" thickBot="1">
      <c r="B27" s="19"/>
      <c r="C27" s="20"/>
      <c r="D27" s="20"/>
      <c r="E27" s="20"/>
      <c r="F27" s="20"/>
      <c r="G27" s="20"/>
      <c r="H27" s="20"/>
      <c r="I27" s="21"/>
    </row>
    <row r="28" spans="2:9" ht="6.75" customHeight="1"/>
    <row r="29" spans="2:9" ht="6.75" customHeight="1"/>
    <row r="30" spans="2:9" ht="6.75" customHeight="1"/>
  </sheetData>
  <mergeCells count="2">
    <mergeCell ref="B7:I7"/>
    <mergeCell ref="D9:E9"/>
  </mergeCells>
  <pageMargins left="0.15748031496062992" right="0.15748031496062992" top="0.39370078740157483" bottom="0.39370078740157483" header="0.31496062992125984" footer="0.31496062992125984"/>
  <pageSetup paperSize="9" scale="78" orientation="portrait" horizontalDpi="300" verticalDpi="3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T8"/>
  <sheetViews>
    <sheetView zoomScale="85" zoomScaleNormal="85" workbookViewId="0">
      <selection activeCell="D37" sqref="D37"/>
    </sheetView>
  </sheetViews>
  <sheetFormatPr defaultRowHeight="15"/>
  <cols>
    <col min="5" max="5" width="9.140625" style="3"/>
    <col min="6" max="6" width="9.140625" style="91"/>
    <col min="8" max="20" width="9.140625" style="3"/>
  </cols>
  <sheetData>
    <row r="1" spans="1:20" ht="16.5">
      <c r="A1" s="82" t="s">
        <v>139</v>
      </c>
    </row>
    <row r="2" spans="1:20" ht="16.5">
      <c r="A2" s="82" t="s">
        <v>50</v>
      </c>
    </row>
    <row r="3" spans="1:20" ht="15.75">
      <c r="A3" s="80" t="s">
        <v>140</v>
      </c>
    </row>
    <row r="4" spans="1:20" ht="15.75" thickBot="1"/>
    <row r="5" spans="1:20" s="81" customFormat="1">
      <c r="A5" s="102" t="s">
        <v>124</v>
      </c>
      <c r="B5" s="103" t="s">
        <v>125</v>
      </c>
      <c r="C5" s="103" t="s">
        <v>16</v>
      </c>
      <c r="D5" s="103" t="s">
        <v>85</v>
      </c>
      <c r="E5" s="104" t="s">
        <v>86</v>
      </c>
      <c r="F5" s="105" t="s">
        <v>126</v>
      </c>
      <c r="G5" s="103" t="s">
        <v>34</v>
      </c>
      <c r="H5" s="104" t="s">
        <v>127</v>
      </c>
      <c r="I5" s="104" t="s">
        <v>128</v>
      </c>
      <c r="J5" s="104" t="s">
        <v>129</v>
      </c>
      <c r="K5" s="104" t="s">
        <v>130</v>
      </c>
      <c r="L5" s="104" t="s">
        <v>131</v>
      </c>
      <c r="M5" s="104" t="s">
        <v>132</v>
      </c>
      <c r="N5" s="104" t="s">
        <v>133</v>
      </c>
      <c r="O5" s="104" t="s">
        <v>134</v>
      </c>
      <c r="P5" s="104" t="s">
        <v>135</v>
      </c>
      <c r="Q5" s="104" t="s">
        <v>136</v>
      </c>
      <c r="R5" s="104" t="s">
        <v>137</v>
      </c>
      <c r="S5" s="107" t="s">
        <v>138</v>
      </c>
      <c r="T5" s="106" t="s">
        <v>33</v>
      </c>
    </row>
    <row r="6" spans="1:20">
      <c r="A6" s="97"/>
      <c r="B6" s="98"/>
      <c r="C6" s="98"/>
      <c r="D6" s="98"/>
      <c r="E6" s="99"/>
      <c r="F6" s="100"/>
      <c r="G6" s="98"/>
      <c r="H6" s="99"/>
      <c r="I6" s="99"/>
      <c r="J6" s="99"/>
      <c r="K6" s="99"/>
      <c r="L6" s="99"/>
      <c r="M6" s="99"/>
      <c r="N6" s="99"/>
      <c r="O6" s="99"/>
      <c r="P6" s="99"/>
      <c r="Q6" s="99"/>
      <c r="R6" s="99"/>
      <c r="S6" s="108"/>
      <c r="T6" s="101"/>
    </row>
    <row r="7" spans="1:20">
      <c r="A7" s="83"/>
      <c r="B7" s="84"/>
      <c r="C7" s="84"/>
      <c r="D7" s="84"/>
      <c r="E7" s="87"/>
      <c r="F7" s="92"/>
      <c r="G7" s="84"/>
      <c r="H7" s="87"/>
      <c r="I7" s="87"/>
      <c r="J7" s="87"/>
      <c r="K7" s="87"/>
      <c r="L7" s="87"/>
      <c r="M7" s="87"/>
      <c r="N7" s="87"/>
      <c r="O7" s="87"/>
      <c r="P7" s="87"/>
      <c r="Q7" s="87"/>
      <c r="R7" s="87"/>
      <c r="S7" s="94"/>
      <c r="T7" s="88"/>
    </row>
    <row r="8" spans="1:20" ht="15.75" thickBot="1">
      <c r="A8" s="85"/>
      <c r="B8" s="86"/>
      <c r="C8" s="86"/>
      <c r="D8" s="86"/>
      <c r="E8" s="89"/>
      <c r="F8" s="93"/>
      <c r="G8" s="86"/>
      <c r="H8" s="89"/>
      <c r="I8" s="89"/>
      <c r="J8" s="89"/>
      <c r="K8" s="89"/>
      <c r="L8" s="89"/>
      <c r="M8" s="89"/>
      <c r="N8" s="89"/>
      <c r="O8" s="89"/>
      <c r="P8" s="89"/>
      <c r="Q8" s="89"/>
      <c r="R8" s="89"/>
      <c r="S8" s="95"/>
      <c r="T8" s="90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L15"/>
  <sheetViews>
    <sheetView zoomScale="85" zoomScaleNormal="85" workbookViewId="0">
      <pane ySplit="5" topLeftCell="A6" activePane="bottomLeft" state="frozen"/>
      <selection pane="bottomLeft"/>
    </sheetView>
  </sheetViews>
  <sheetFormatPr defaultRowHeight="15"/>
  <cols>
    <col min="2" max="2" width="12" bestFit="1" customWidth="1"/>
    <col min="3" max="3" width="6.140625" bestFit="1" customWidth="1"/>
    <col min="4" max="4" width="17.42578125" bestFit="1" customWidth="1"/>
    <col min="5" max="5" width="11.5703125" style="3" bestFit="1" customWidth="1"/>
    <col min="6" max="6" width="12.28515625" style="91" bestFit="1" customWidth="1"/>
    <col min="7" max="7" width="9.7109375" bestFit="1" customWidth="1"/>
    <col min="8" max="9" width="9" style="3" bestFit="1" customWidth="1"/>
    <col min="10" max="10" width="6" style="3" bestFit="1" customWidth="1"/>
    <col min="11" max="11" width="5.5703125" style="3" bestFit="1" customWidth="1"/>
    <col min="12" max="12" width="6" style="3" bestFit="1" customWidth="1"/>
    <col min="13" max="13" width="5.42578125" style="3" bestFit="1" customWidth="1"/>
    <col min="14" max="14" width="4.85546875" style="3" bestFit="1" customWidth="1"/>
    <col min="15" max="15" width="5.5703125" style="3" bestFit="1" customWidth="1"/>
    <col min="16" max="16" width="5.7109375" style="3" bestFit="1" customWidth="1"/>
    <col min="17" max="17" width="5.5703125" style="3" bestFit="1" customWidth="1"/>
    <col min="18" max="18" width="6" style="3" bestFit="1" customWidth="1"/>
    <col min="19" max="19" width="5.7109375" style="3" bestFit="1" customWidth="1"/>
    <col min="20" max="20" width="9" style="3" bestFit="1" customWidth="1"/>
    <col min="23" max="23" width="12" bestFit="1" customWidth="1"/>
    <col min="24" max="24" width="6.140625" bestFit="1" customWidth="1"/>
    <col min="25" max="25" width="17.42578125" bestFit="1" customWidth="1"/>
    <col min="26" max="27" width="8" bestFit="1" customWidth="1"/>
    <col min="28" max="28" width="6" bestFit="1" customWidth="1"/>
    <col min="29" max="29" width="5.5703125" bestFit="1" customWidth="1"/>
    <col min="30" max="30" width="6" bestFit="1" customWidth="1"/>
    <col min="31" max="31" width="5.42578125" bestFit="1" customWidth="1"/>
    <col min="32" max="32" width="4.85546875" bestFit="1" customWidth="1"/>
    <col min="33" max="33" width="5.5703125" bestFit="1" customWidth="1"/>
    <col min="34" max="34" width="5.7109375" bestFit="1" customWidth="1"/>
    <col min="35" max="35" width="5.5703125" bestFit="1" customWidth="1"/>
    <col min="36" max="36" width="6" bestFit="1" customWidth="1"/>
    <col min="37" max="37" width="5.7109375" bestFit="1" customWidth="1"/>
    <col min="38" max="38" width="11" bestFit="1" customWidth="1"/>
  </cols>
  <sheetData>
    <row r="1" spans="1:38" ht="16.5">
      <c r="A1" s="82" t="s">
        <v>139</v>
      </c>
      <c r="V1" s="82" t="s">
        <v>242</v>
      </c>
    </row>
    <row r="2" spans="1:38" ht="16.5">
      <c r="A2" s="82" t="s">
        <v>50</v>
      </c>
      <c r="V2" s="82" t="s">
        <v>50</v>
      </c>
    </row>
    <row r="3" spans="1:38" ht="15.75">
      <c r="A3" s="80" t="s">
        <v>140</v>
      </c>
      <c r="V3" s="80" t="s">
        <v>140</v>
      </c>
    </row>
    <row r="4" spans="1:38" ht="15.75" thickBot="1">
      <c r="A4" t="s">
        <v>220</v>
      </c>
      <c r="V4" t="s">
        <v>220</v>
      </c>
    </row>
    <row r="5" spans="1:38" s="81" customFormat="1">
      <c r="A5" s="102" t="s">
        <v>124</v>
      </c>
      <c r="B5" s="103" t="s">
        <v>125</v>
      </c>
      <c r="C5" s="103" t="s">
        <v>16</v>
      </c>
      <c r="D5" s="103" t="s">
        <v>85</v>
      </c>
      <c r="E5" s="104" t="s">
        <v>86</v>
      </c>
      <c r="F5" s="105" t="s">
        <v>126</v>
      </c>
      <c r="G5" s="103" t="s">
        <v>34</v>
      </c>
      <c r="H5" s="104" t="s">
        <v>127</v>
      </c>
      <c r="I5" s="104" t="s">
        <v>128</v>
      </c>
      <c r="J5" s="104" t="s">
        <v>129</v>
      </c>
      <c r="K5" s="104" t="s">
        <v>130</v>
      </c>
      <c r="L5" s="104" t="s">
        <v>131</v>
      </c>
      <c r="M5" s="104" t="s">
        <v>132</v>
      </c>
      <c r="N5" s="104" t="s">
        <v>133</v>
      </c>
      <c r="O5" s="104" t="s">
        <v>134</v>
      </c>
      <c r="P5" s="104" t="s">
        <v>135</v>
      </c>
      <c r="Q5" s="104" t="s">
        <v>136</v>
      </c>
      <c r="R5" s="104" t="s">
        <v>137</v>
      </c>
      <c r="S5" s="107" t="s">
        <v>138</v>
      </c>
      <c r="T5" s="106" t="s">
        <v>33</v>
      </c>
      <c r="V5" s="102" t="s">
        <v>124</v>
      </c>
      <c r="W5" s="103" t="s">
        <v>125</v>
      </c>
      <c r="X5" s="103" t="s">
        <v>16</v>
      </c>
      <c r="Y5" s="103" t="s">
        <v>85</v>
      </c>
      <c r="Z5" s="104" t="s">
        <v>127</v>
      </c>
      <c r="AA5" s="104" t="s">
        <v>128</v>
      </c>
      <c r="AB5" s="104" t="s">
        <v>129</v>
      </c>
      <c r="AC5" s="104" t="s">
        <v>130</v>
      </c>
      <c r="AD5" s="104" t="s">
        <v>131</v>
      </c>
      <c r="AE5" s="104" t="s">
        <v>132</v>
      </c>
      <c r="AF5" s="104" t="s">
        <v>133</v>
      </c>
      <c r="AG5" s="104" t="s">
        <v>134</v>
      </c>
      <c r="AH5" s="104" t="s">
        <v>135</v>
      </c>
      <c r="AI5" s="104" t="s">
        <v>136</v>
      </c>
      <c r="AJ5" s="104" t="s">
        <v>137</v>
      </c>
      <c r="AK5" s="107" t="s">
        <v>138</v>
      </c>
      <c r="AL5" s="106" t="s">
        <v>243</v>
      </c>
    </row>
    <row r="6" spans="1:38">
      <c r="A6" s="97">
        <v>1</v>
      </c>
      <c r="B6" s="98">
        <v>1</v>
      </c>
      <c r="C6" s="98" t="s">
        <v>142</v>
      </c>
      <c r="D6" s="98" t="s">
        <v>223</v>
      </c>
      <c r="E6" s="99">
        <v>10000000</v>
      </c>
      <c r="F6" s="100">
        <v>42036</v>
      </c>
      <c r="G6" s="98" t="s">
        <v>162</v>
      </c>
      <c r="H6" s="99">
        <v>0</v>
      </c>
      <c r="I6" s="99">
        <v>0</v>
      </c>
      <c r="J6" s="99">
        <v>0</v>
      </c>
      <c r="K6" s="99">
        <v>0</v>
      </c>
      <c r="L6" s="99">
        <v>0</v>
      </c>
      <c r="M6" s="99">
        <v>0</v>
      </c>
      <c r="N6" s="99">
        <v>0</v>
      </c>
      <c r="O6" s="99">
        <v>0</v>
      </c>
      <c r="P6" s="99">
        <v>0</v>
      </c>
      <c r="Q6" s="99">
        <v>0</v>
      </c>
      <c r="R6" s="99">
        <v>0</v>
      </c>
      <c r="S6" s="108">
        <v>0</v>
      </c>
      <c r="T6" s="101">
        <f>SUM(H6:S6)</f>
        <v>0</v>
      </c>
      <c r="V6" s="97">
        <v>1</v>
      </c>
      <c r="W6" s="98">
        <v>1</v>
      </c>
      <c r="X6" s="98" t="s">
        <v>142</v>
      </c>
      <c r="Y6" s="98" t="s">
        <v>223</v>
      </c>
      <c r="Z6" s="99">
        <f>H6/'SHU Total'!$E$11*'SHU Total'!$E$18</f>
        <v>0</v>
      </c>
      <c r="AA6" s="99">
        <f>I6/'SHU Total'!$E$11*'SHU Total'!$E$18</f>
        <v>0</v>
      </c>
      <c r="AB6" s="99">
        <f>J6/'SHU Total'!$E$11*'SHU Total'!$E$18</f>
        <v>0</v>
      </c>
      <c r="AC6" s="99">
        <f>K6/'SHU Total'!$E$11*'SHU Total'!$E$18</f>
        <v>0</v>
      </c>
      <c r="AD6" s="99">
        <f>L6/'SHU Total'!$E$11*'SHU Total'!$E$18</f>
        <v>0</v>
      </c>
      <c r="AE6" s="99">
        <f>M6/'SHU Total'!$E$11*'SHU Total'!$E$18</f>
        <v>0</v>
      </c>
      <c r="AF6" s="99">
        <f>N6/'SHU Total'!$E$11*'SHU Total'!$E$18</f>
        <v>0</v>
      </c>
      <c r="AG6" s="99">
        <f>O6/'SHU Total'!$E$11*'SHU Total'!$E$18</f>
        <v>0</v>
      </c>
      <c r="AH6" s="99">
        <f>P6/'SHU Total'!$E$11*'SHU Total'!$E$18</f>
        <v>0</v>
      </c>
      <c r="AI6" s="99">
        <f>Q6/'SHU Total'!$E$11*'SHU Total'!$E$18</f>
        <v>0</v>
      </c>
      <c r="AJ6" s="99">
        <f>R6/'SHU Total'!$E$11*'SHU Total'!$E$18</f>
        <v>0</v>
      </c>
      <c r="AK6" s="108">
        <f>S6/'SHU Total'!$E$11*'SHU Total'!$E$18</f>
        <v>0</v>
      </c>
      <c r="AL6" s="101">
        <f>SUM(Z6:AK6)</f>
        <v>0</v>
      </c>
    </row>
    <row r="7" spans="1:38">
      <c r="A7" s="97">
        <v>2</v>
      </c>
      <c r="B7" s="98">
        <v>2</v>
      </c>
      <c r="C7" s="98" t="s">
        <v>148</v>
      </c>
      <c r="D7" s="98" t="s">
        <v>181</v>
      </c>
      <c r="E7" s="99">
        <v>10000000</v>
      </c>
      <c r="F7" s="100">
        <v>42030</v>
      </c>
      <c r="G7" s="98" t="s">
        <v>58</v>
      </c>
      <c r="H7" s="99">
        <v>0</v>
      </c>
      <c r="I7" s="99">
        <v>0</v>
      </c>
      <c r="J7" s="99">
        <v>0</v>
      </c>
      <c r="K7" s="99">
        <v>0</v>
      </c>
      <c r="L7" s="99">
        <v>0</v>
      </c>
      <c r="M7" s="99">
        <v>0</v>
      </c>
      <c r="N7" s="99">
        <v>0</v>
      </c>
      <c r="O7" s="99">
        <v>0</v>
      </c>
      <c r="P7" s="99">
        <v>0</v>
      </c>
      <c r="Q7" s="99">
        <v>0</v>
      </c>
      <c r="R7" s="99">
        <v>0</v>
      </c>
      <c r="S7" s="108">
        <v>0</v>
      </c>
      <c r="T7" s="101">
        <f t="shared" ref="T7:T12" si="0">SUM(H7:S7)</f>
        <v>0</v>
      </c>
      <c r="V7" s="97">
        <v>2</v>
      </c>
      <c r="W7" s="98">
        <v>2</v>
      </c>
      <c r="X7" s="98" t="s">
        <v>148</v>
      </c>
      <c r="Y7" s="98" t="s">
        <v>181</v>
      </c>
      <c r="Z7" s="99">
        <f>H7/'SHU Total'!$E$11*'SHU Total'!$E$18</f>
        <v>0</v>
      </c>
      <c r="AA7" s="99">
        <f>I7/'SHU Total'!$E$11*'SHU Total'!$E$18</f>
        <v>0</v>
      </c>
      <c r="AB7" s="99">
        <f>J7/'SHU Total'!$E$11*'SHU Total'!$E$18</f>
        <v>0</v>
      </c>
      <c r="AC7" s="99">
        <f>K7/'SHU Total'!$E$11*'SHU Total'!$E$18</f>
        <v>0</v>
      </c>
      <c r="AD7" s="99">
        <f>L7/'SHU Total'!$E$11*'SHU Total'!$E$18</f>
        <v>0</v>
      </c>
      <c r="AE7" s="99">
        <f>M7/'SHU Total'!$E$11*'SHU Total'!$E$18</f>
        <v>0</v>
      </c>
      <c r="AF7" s="99">
        <f>N7/'SHU Total'!$E$11*'SHU Total'!$E$18</f>
        <v>0</v>
      </c>
      <c r="AG7" s="99">
        <f>O7/'SHU Total'!$E$11*'SHU Total'!$E$18</f>
        <v>0</v>
      </c>
      <c r="AH7" s="99">
        <f>P7/'SHU Total'!$E$11*'SHU Total'!$E$18</f>
        <v>0</v>
      </c>
      <c r="AI7" s="99">
        <f>Q7/'SHU Total'!$E$11*'SHU Total'!$E$18</f>
        <v>0</v>
      </c>
      <c r="AJ7" s="99">
        <f>R7/'SHU Total'!$E$11*'SHU Total'!$E$18</f>
        <v>0</v>
      </c>
      <c r="AK7" s="108">
        <f>S7/'SHU Total'!$E$11*'SHU Total'!$E$18</f>
        <v>0</v>
      </c>
      <c r="AL7" s="101">
        <f t="shared" ref="AL7:AL12" si="1">SUM(Z7:AK7)</f>
        <v>0</v>
      </c>
    </row>
    <row r="8" spans="1:38">
      <c r="A8" s="97">
        <v>3</v>
      </c>
      <c r="B8" s="98">
        <v>3</v>
      </c>
      <c r="C8" s="98" t="s">
        <v>195</v>
      </c>
      <c r="D8" s="98" t="s">
        <v>154</v>
      </c>
      <c r="E8" s="99">
        <v>10000000</v>
      </c>
      <c r="F8" s="100">
        <v>42030</v>
      </c>
      <c r="G8" s="98" t="s">
        <v>162</v>
      </c>
      <c r="H8" s="99">
        <v>100000</v>
      </c>
      <c r="I8" s="99">
        <v>0</v>
      </c>
      <c r="J8" s="99">
        <v>0</v>
      </c>
      <c r="K8" s="99">
        <v>0</v>
      </c>
      <c r="L8" s="99">
        <v>0</v>
      </c>
      <c r="M8" s="99">
        <v>0</v>
      </c>
      <c r="N8" s="99">
        <v>0</v>
      </c>
      <c r="O8" s="99">
        <v>0</v>
      </c>
      <c r="P8" s="99">
        <v>0</v>
      </c>
      <c r="Q8" s="99">
        <v>0</v>
      </c>
      <c r="R8" s="99">
        <v>0</v>
      </c>
      <c r="S8" s="108">
        <v>0</v>
      </c>
      <c r="T8" s="101">
        <f t="shared" si="0"/>
        <v>100000</v>
      </c>
      <c r="V8" s="97">
        <v>3</v>
      </c>
      <c r="W8" s="98">
        <v>3</v>
      </c>
      <c r="X8" s="98" t="s">
        <v>195</v>
      </c>
      <c r="Y8" s="98" t="s">
        <v>154</v>
      </c>
      <c r="Z8" s="99">
        <f>H8/'SHU Total'!$E$11*'SHU Total'!$E$18</f>
        <v>34000</v>
      </c>
      <c r="AA8" s="99">
        <f>I8/'SHU Total'!$E$11*'SHU Total'!$E$18</f>
        <v>0</v>
      </c>
      <c r="AB8" s="99">
        <f>J8/'SHU Total'!$E$11*'SHU Total'!$E$18</f>
        <v>0</v>
      </c>
      <c r="AC8" s="99">
        <f>K8/'SHU Total'!$E$11*'SHU Total'!$E$18</f>
        <v>0</v>
      </c>
      <c r="AD8" s="99">
        <f>L8/'SHU Total'!$E$11*'SHU Total'!$E$18</f>
        <v>0</v>
      </c>
      <c r="AE8" s="99">
        <f>M8/'SHU Total'!$E$11*'SHU Total'!$E$18</f>
        <v>0</v>
      </c>
      <c r="AF8" s="99">
        <f>N8/'SHU Total'!$E$11*'SHU Total'!$E$18</f>
        <v>0</v>
      </c>
      <c r="AG8" s="99">
        <f>O8/'SHU Total'!$E$11*'SHU Total'!$E$18</f>
        <v>0</v>
      </c>
      <c r="AH8" s="99">
        <f>P8/'SHU Total'!$E$11*'SHU Total'!$E$18</f>
        <v>0</v>
      </c>
      <c r="AI8" s="99">
        <f>Q8/'SHU Total'!$E$11*'SHU Total'!$E$18</f>
        <v>0</v>
      </c>
      <c r="AJ8" s="99">
        <f>R8/'SHU Total'!$E$11*'SHU Total'!$E$18</f>
        <v>0</v>
      </c>
      <c r="AK8" s="108">
        <f>S8/'SHU Total'!$E$11*'SHU Total'!$E$18</f>
        <v>0</v>
      </c>
      <c r="AL8" s="101">
        <f t="shared" si="1"/>
        <v>34000</v>
      </c>
    </row>
    <row r="9" spans="1:38">
      <c r="A9" s="97">
        <v>4</v>
      </c>
      <c r="B9" s="98">
        <v>4</v>
      </c>
      <c r="C9" s="98" t="s">
        <v>224</v>
      </c>
      <c r="D9" s="98" t="s">
        <v>228</v>
      </c>
      <c r="E9" s="99">
        <v>5000000</v>
      </c>
      <c r="F9" s="100">
        <v>42036</v>
      </c>
      <c r="G9" s="98" t="s">
        <v>162</v>
      </c>
      <c r="H9" s="99">
        <v>0</v>
      </c>
      <c r="I9" s="99">
        <v>0</v>
      </c>
      <c r="J9" s="99">
        <v>0</v>
      </c>
      <c r="K9" s="99">
        <v>0</v>
      </c>
      <c r="L9" s="99">
        <v>0</v>
      </c>
      <c r="M9" s="99">
        <v>0</v>
      </c>
      <c r="N9" s="99">
        <v>0</v>
      </c>
      <c r="O9" s="99">
        <v>0</v>
      </c>
      <c r="P9" s="99">
        <v>0</v>
      </c>
      <c r="Q9" s="99">
        <v>0</v>
      </c>
      <c r="R9" s="99">
        <v>0</v>
      </c>
      <c r="S9" s="108">
        <v>0</v>
      </c>
      <c r="T9" s="101">
        <f t="shared" si="0"/>
        <v>0</v>
      </c>
      <c r="V9" s="97">
        <v>4</v>
      </c>
      <c r="W9" s="98">
        <v>4</v>
      </c>
      <c r="X9" s="98" t="s">
        <v>224</v>
      </c>
      <c r="Y9" s="98" t="s">
        <v>228</v>
      </c>
      <c r="Z9" s="99">
        <f>H9/'SHU Total'!$E$11*'SHU Total'!$E$18</f>
        <v>0</v>
      </c>
      <c r="AA9" s="99">
        <f>I9/'SHU Total'!$E$11*'SHU Total'!$E$18</f>
        <v>0</v>
      </c>
      <c r="AB9" s="99">
        <f>J9/'SHU Total'!$E$11*'SHU Total'!$E$18</f>
        <v>0</v>
      </c>
      <c r="AC9" s="99">
        <f>K9/'SHU Total'!$E$11*'SHU Total'!$E$18</f>
        <v>0</v>
      </c>
      <c r="AD9" s="99">
        <f>L9/'SHU Total'!$E$11*'SHU Total'!$E$18</f>
        <v>0</v>
      </c>
      <c r="AE9" s="99">
        <f>M9/'SHU Total'!$E$11*'SHU Total'!$E$18</f>
        <v>0</v>
      </c>
      <c r="AF9" s="99">
        <f>N9/'SHU Total'!$E$11*'SHU Total'!$E$18</f>
        <v>0</v>
      </c>
      <c r="AG9" s="99">
        <f>O9/'SHU Total'!$E$11*'SHU Total'!$E$18</f>
        <v>0</v>
      </c>
      <c r="AH9" s="99">
        <f>P9/'SHU Total'!$E$11*'SHU Total'!$E$18</f>
        <v>0</v>
      </c>
      <c r="AI9" s="99">
        <f>Q9/'SHU Total'!$E$11*'SHU Total'!$E$18</f>
        <v>0</v>
      </c>
      <c r="AJ9" s="99">
        <f>R9/'SHU Total'!$E$11*'SHU Total'!$E$18</f>
        <v>0</v>
      </c>
      <c r="AK9" s="108">
        <f>S9/'SHU Total'!$E$11*'SHU Total'!$E$18</f>
        <v>0</v>
      </c>
      <c r="AL9" s="101">
        <f t="shared" si="1"/>
        <v>0</v>
      </c>
    </row>
    <row r="10" spans="1:38">
      <c r="A10" s="97">
        <v>5</v>
      </c>
      <c r="B10" s="98">
        <v>5</v>
      </c>
      <c r="C10" s="98" t="s">
        <v>229</v>
      </c>
      <c r="D10" s="98" t="s">
        <v>233</v>
      </c>
      <c r="E10" s="99">
        <v>10000000</v>
      </c>
      <c r="F10" s="100">
        <v>42036</v>
      </c>
      <c r="G10" s="98" t="s">
        <v>234</v>
      </c>
      <c r="H10" s="99">
        <v>100000</v>
      </c>
      <c r="I10" s="99">
        <v>100000</v>
      </c>
      <c r="J10" s="99">
        <v>0</v>
      </c>
      <c r="K10" s="99">
        <v>0</v>
      </c>
      <c r="L10" s="99">
        <v>0</v>
      </c>
      <c r="M10" s="99">
        <v>0</v>
      </c>
      <c r="N10" s="99">
        <v>0</v>
      </c>
      <c r="O10" s="99">
        <v>0</v>
      </c>
      <c r="P10" s="99">
        <v>0</v>
      </c>
      <c r="Q10" s="99">
        <v>0</v>
      </c>
      <c r="R10" s="99">
        <v>0</v>
      </c>
      <c r="S10" s="108">
        <v>0</v>
      </c>
      <c r="T10" s="101">
        <f t="shared" si="0"/>
        <v>200000</v>
      </c>
      <c r="V10" s="97">
        <v>5</v>
      </c>
      <c r="W10" s="98">
        <v>5</v>
      </c>
      <c r="X10" s="98" t="s">
        <v>229</v>
      </c>
      <c r="Y10" s="98" t="s">
        <v>233</v>
      </c>
      <c r="Z10" s="99">
        <f>H10/'SHU Total'!$E$11*'SHU Total'!$E$18</f>
        <v>34000</v>
      </c>
      <c r="AA10" s="99">
        <f>I10/'SHU Total'!$E$11*'SHU Total'!$E$18</f>
        <v>34000</v>
      </c>
      <c r="AB10" s="99">
        <f>J10/'SHU Total'!$E$11*'SHU Total'!$E$18</f>
        <v>0</v>
      </c>
      <c r="AC10" s="99">
        <f>K10/'SHU Total'!$E$11*'SHU Total'!$E$18</f>
        <v>0</v>
      </c>
      <c r="AD10" s="99">
        <f>L10/'SHU Total'!$E$11*'SHU Total'!$E$18</f>
        <v>0</v>
      </c>
      <c r="AE10" s="99">
        <f>M10/'SHU Total'!$E$11*'SHU Total'!$E$18</f>
        <v>0</v>
      </c>
      <c r="AF10" s="99">
        <f>N10/'SHU Total'!$E$11*'SHU Total'!$E$18</f>
        <v>0</v>
      </c>
      <c r="AG10" s="99">
        <f>O10/'SHU Total'!$E$11*'SHU Total'!$E$18</f>
        <v>0</v>
      </c>
      <c r="AH10" s="99">
        <f>P10/'SHU Total'!$E$11*'SHU Total'!$E$18</f>
        <v>0</v>
      </c>
      <c r="AI10" s="99">
        <f>Q10/'SHU Total'!$E$11*'SHU Total'!$E$18</f>
        <v>0</v>
      </c>
      <c r="AJ10" s="99">
        <f>R10/'SHU Total'!$E$11*'SHU Total'!$E$18</f>
        <v>0</v>
      </c>
      <c r="AK10" s="108">
        <f>S10/'SHU Total'!$E$11*'SHU Total'!$E$18</f>
        <v>0</v>
      </c>
      <c r="AL10" s="101">
        <f t="shared" si="1"/>
        <v>68000</v>
      </c>
    </row>
    <row r="11" spans="1:38">
      <c r="A11" s="97"/>
      <c r="B11" s="152">
        <v>5</v>
      </c>
      <c r="C11" s="152" t="s">
        <v>229</v>
      </c>
      <c r="D11" s="98" t="s">
        <v>238</v>
      </c>
      <c r="E11" s="99">
        <v>1000000</v>
      </c>
      <c r="F11" s="100">
        <v>42036</v>
      </c>
      <c r="G11" s="98" t="s">
        <v>162</v>
      </c>
      <c r="H11" s="99">
        <v>0</v>
      </c>
      <c r="I11" s="99">
        <v>0</v>
      </c>
      <c r="J11" s="99">
        <v>0</v>
      </c>
      <c r="K11" s="99">
        <v>0</v>
      </c>
      <c r="L11" s="99">
        <v>0</v>
      </c>
      <c r="M11" s="99">
        <v>0</v>
      </c>
      <c r="N11" s="99">
        <v>0</v>
      </c>
      <c r="O11" s="99">
        <v>0</v>
      </c>
      <c r="P11" s="99">
        <v>0</v>
      </c>
      <c r="Q11" s="99">
        <v>0</v>
      </c>
      <c r="R11" s="99">
        <v>0</v>
      </c>
      <c r="S11" s="108">
        <v>0</v>
      </c>
      <c r="T11" s="101">
        <f t="shared" si="0"/>
        <v>0</v>
      </c>
      <c r="V11" s="97"/>
      <c r="W11" s="152">
        <v>5</v>
      </c>
      <c r="X11" s="152" t="s">
        <v>229</v>
      </c>
      <c r="Y11" s="98" t="s">
        <v>238</v>
      </c>
      <c r="Z11" s="99">
        <f>H11/'SHU Total'!$E$11*'SHU Total'!$E$18</f>
        <v>0</v>
      </c>
      <c r="AA11" s="99">
        <f>I11/'SHU Total'!$E$11*'SHU Total'!$E$18</f>
        <v>0</v>
      </c>
      <c r="AB11" s="99">
        <f>J11/'SHU Total'!$E$11*'SHU Total'!$E$18</f>
        <v>0</v>
      </c>
      <c r="AC11" s="99">
        <f>K11/'SHU Total'!$E$11*'SHU Total'!$E$18</f>
        <v>0</v>
      </c>
      <c r="AD11" s="99">
        <f>L11/'SHU Total'!$E$11*'SHU Total'!$E$18</f>
        <v>0</v>
      </c>
      <c r="AE11" s="99">
        <f>M11/'SHU Total'!$E$11*'SHU Total'!$E$18</f>
        <v>0</v>
      </c>
      <c r="AF11" s="99">
        <f>N11/'SHU Total'!$E$11*'SHU Total'!$E$18</f>
        <v>0</v>
      </c>
      <c r="AG11" s="99">
        <f>O11/'SHU Total'!$E$11*'SHU Total'!$E$18</f>
        <v>0</v>
      </c>
      <c r="AH11" s="99">
        <f>P11/'SHU Total'!$E$11*'SHU Total'!$E$18</f>
        <v>0</v>
      </c>
      <c r="AI11" s="99">
        <f>Q11/'SHU Total'!$E$11*'SHU Total'!$E$18</f>
        <v>0</v>
      </c>
      <c r="AJ11" s="99">
        <f>R11/'SHU Total'!$E$11*'SHU Total'!$E$18</f>
        <v>0</v>
      </c>
      <c r="AK11" s="108">
        <f>S11/'SHU Total'!$E$11*'SHU Total'!$E$18</f>
        <v>0</v>
      </c>
      <c r="AL11" s="101">
        <f t="shared" si="1"/>
        <v>0</v>
      </c>
    </row>
    <row r="12" spans="1:38">
      <c r="A12" s="97"/>
      <c r="B12" s="152">
        <v>5</v>
      </c>
      <c r="C12" s="152" t="s">
        <v>229</v>
      </c>
      <c r="D12" s="98" t="s">
        <v>275</v>
      </c>
      <c r="E12" s="99">
        <v>5000000</v>
      </c>
      <c r="F12" s="100">
        <v>42006</v>
      </c>
      <c r="G12" s="98" t="s">
        <v>58</v>
      </c>
      <c r="H12" s="99">
        <v>0</v>
      </c>
      <c r="I12" s="99">
        <v>0</v>
      </c>
      <c r="J12" s="99">
        <v>0</v>
      </c>
      <c r="K12" s="99">
        <v>0</v>
      </c>
      <c r="L12" s="99">
        <v>0</v>
      </c>
      <c r="M12" s="99">
        <v>0</v>
      </c>
      <c r="N12" s="99">
        <v>0</v>
      </c>
      <c r="O12" s="99">
        <v>0</v>
      </c>
      <c r="P12" s="99">
        <v>0</v>
      </c>
      <c r="Q12" s="99">
        <v>0</v>
      </c>
      <c r="R12" s="99">
        <v>0</v>
      </c>
      <c r="S12" s="108">
        <v>0</v>
      </c>
      <c r="T12" s="101">
        <f t="shared" si="0"/>
        <v>0</v>
      </c>
      <c r="V12" s="97"/>
      <c r="W12" s="152">
        <v>5</v>
      </c>
      <c r="X12" s="152" t="s">
        <v>229</v>
      </c>
      <c r="Y12" s="98" t="s">
        <v>275</v>
      </c>
      <c r="Z12" s="99">
        <f>H12/'SHU Total'!$E$11*'SHU Total'!$E$18</f>
        <v>0</v>
      </c>
      <c r="AA12" s="99">
        <f>I12/'SHU Total'!$E$11*'SHU Total'!$E$18</f>
        <v>0</v>
      </c>
      <c r="AB12" s="99">
        <f>J12/'SHU Total'!$E$11*'SHU Total'!$E$18</f>
        <v>0</v>
      </c>
      <c r="AC12" s="99">
        <f>K12/'SHU Total'!$E$11*'SHU Total'!$E$18</f>
        <v>0</v>
      </c>
      <c r="AD12" s="99">
        <f>L12/'SHU Total'!$E$11*'SHU Total'!$E$18</f>
        <v>0</v>
      </c>
      <c r="AE12" s="99">
        <f>M12/'SHU Total'!$E$11*'SHU Total'!$E$18</f>
        <v>0</v>
      </c>
      <c r="AF12" s="99">
        <f>N12/'SHU Total'!$E$11*'SHU Total'!$E$18</f>
        <v>0</v>
      </c>
      <c r="AG12" s="99">
        <f>O12/'SHU Total'!$E$11*'SHU Total'!$E$18</f>
        <v>0</v>
      </c>
      <c r="AH12" s="99">
        <f>P12/'SHU Total'!$E$11*'SHU Total'!$E$18</f>
        <v>0</v>
      </c>
      <c r="AI12" s="99">
        <f>Q12/'SHU Total'!$E$11*'SHU Total'!$E$18</f>
        <v>0</v>
      </c>
      <c r="AJ12" s="99">
        <f>R12/'SHU Total'!$E$11*'SHU Total'!$E$18</f>
        <v>0</v>
      </c>
      <c r="AK12" s="108">
        <f>S12/'SHU Total'!$E$11*'SHU Total'!$E$18</f>
        <v>0</v>
      </c>
      <c r="AL12" s="101">
        <f t="shared" si="1"/>
        <v>0</v>
      </c>
    </row>
    <row r="13" spans="1:38">
      <c r="A13" s="97"/>
      <c r="B13" s="98"/>
      <c r="C13" s="98"/>
      <c r="D13" s="98"/>
      <c r="E13" s="99"/>
      <c r="F13" s="100"/>
      <c r="G13" s="98"/>
      <c r="H13" s="99"/>
      <c r="I13" s="99"/>
      <c r="J13" s="99"/>
      <c r="K13" s="99"/>
      <c r="L13" s="99"/>
      <c r="M13" s="99"/>
      <c r="N13" s="99"/>
      <c r="O13" s="99"/>
      <c r="P13" s="99"/>
      <c r="Q13" s="99"/>
      <c r="R13" s="99"/>
      <c r="S13" s="108"/>
      <c r="T13" s="101"/>
      <c r="V13" s="97"/>
      <c r="W13" s="98"/>
      <c r="X13" s="98"/>
      <c r="Y13" s="98"/>
      <c r="Z13" s="99"/>
      <c r="AA13" s="99"/>
      <c r="AB13" s="99"/>
      <c r="AC13" s="99"/>
      <c r="AD13" s="99"/>
      <c r="AE13" s="99"/>
      <c r="AF13" s="99"/>
      <c r="AG13" s="99"/>
      <c r="AH13" s="99"/>
      <c r="AI13" s="99"/>
      <c r="AJ13" s="99"/>
      <c r="AK13" s="108"/>
      <c r="AL13" s="101"/>
    </row>
    <row r="14" spans="1:38" s="81" customFormat="1">
      <c r="A14" s="153"/>
      <c r="B14" s="149"/>
      <c r="C14" s="149"/>
      <c r="D14" s="149" t="s">
        <v>221</v>
      </c>
      <c r="E14" s="154"/>
      <c r="F14" s="155"/>
      <c r="G14" s="149"/>
      <c r="H14" s="154">
        <f>SUM(H5:H12)</f>
        <v>200000</v>
      </c>
      <c r="I14" s="154">
        <f t="shared" ref="I14:T14" si="2">SUM(I5:I12)</f>
        <v>100000</v>
      </c>
      <c r="J14" s="154">
        <f t="shared" si="2"/>
        <v>0</v>
      </c>
      <c r="K14" s="154">
        <f t="shared" si="2"/>
        <v>0</v>
      </c>
      <c r="L14" s="154">
        <f t="shared" si="2"/>
        <v>0</v>
      </c>
      <c r="M14" s="154">
        <f t="shared" si="2"/>
        <v>0</v>
      </c>
      <c r="N14" s="154">
        <f t="shared" si="2"/>
        <v>0</v>
      </c>
      <c r="O14" s="154">
        <f t="shared" si="2"/>
        <v>0</v>
      </c>
      <c r="P14" s="154">
        <f t="shared" si="2"/>
        <v>0</v>
      </c>
      <c r="Q14" s="154">
        <f t="shared" si="2"/>
        <v>0</v>
      </c>
      <c r="R14" s="154">
        <f t="shared" si="2"/>
        <v>0</v>
      </c>
      <c r="S14" s="156">
        <f t="shared" si="2"/>
        <v>0</v>
      </c>
      <c r="T14" s="157">
        <f t="shared" si="2"/>
        <v>300000</v>
      </c>
      <c r="V14" s="153"/>
      <c r="W14" s="149"/>
      <c r="X14" s="149"/>
      <c r="Y14" s="149" t="s">
        <v>221</v>
      </c>
      <c r="Z14" s="154">
        <f>SUM(Z5:Z12)</f>
        <v>68000</v>
      </c>
      <c r="AA14" s="154">
        <f t="shared" ref="AA14:AL14" si="3">SUM(AA5:AA12)</f>
        <v>34000</v>
      </c>
      <c r="AB14" s="154">
        <f t="shared" si="3"/>
        <v>0</v>
      </c>
      <c r="AC14" s="154">
        <f t="shared" si="3"/>
        <v>0</v>
      </c>
      <c r="AD14" s="154">
        <f t="shared" si="3"/>
        <v>0</v>
      </c>
      <c r="AE14" s="154">
        <f t="shared" si="3"/>
        <v>0</v>
      </c>
      <c r="AF14" s="154">
        <f t="shared" si="3"/>
        <v>0</v>
      </c>
      <c r="AG14" s="154">
        <f t="shared" si="3"/>
        <v>0</v>
      </c>
      <c r="AH14" s="154">
        <f t="shared" si="3"/>
        <v>0</v>
      </c>
      <c r="AI14" s="154">
        <f t="shared" si="3"/>
        <v>0</v>
      </c>
      <c r="AJ14" s="154">
        <f t="shared" si="3"/>
        <v>0</v>
      </c>
      <c r="AK14" s="156">
        <f t="shared" si="3"/>
        <v>0</v>
      </c>
      <c r="AL14" s="157">
        <f t="shared" si="3"/>
        <v>102000</v>
      </c>
    </row>
    <row r="15" spans="1:38" ht="15.75" thickBot="1">
      <c r="A15" s="85"/>
      <c r="B15" s="86"/>
      <c r="C15" s="86"/>
      <c r="D15" s="86"/>
      <c r="E15" s="89"/>
      <c r="F15" s="93"/>
      <c r="G15" s="86"/>
      <c r="H15" s="89"/>
      <c r="I15" s="89"/>
      <c r="J15" s="89"/>
      <c r="K15" s="89"/>
      <c r="L15" s="89"/>
      <c r="M15" s="89"/>
      <c r="N15" s="89"/>
      <c r="O15" s="89"/>
      <c r="P15" s="89"/>
      <c r="Q15" s="89"/>
      <c r="R15" s="89"/>
      <c r="S15" s="95"/>
      <c r="T15" s="90"/>
      <c r="V15" s="85"/>
      <c r="W15" s="86"/>
      <c r="X15" s="86"/>
      <c r="Y15" s="86"/>
      <c r="Z15" s="89"/>
      <c r="AA15" s="89"/>
      <c r="AB15" s="89"/>
      <c r="AC15" s="89"/>
      <c r="AD15" s="89"/>
      <c r="AE15" s="89"/>
      <c r="AF15" s="89"/>
      <c r="AG15" s="89"/>
      <c r="AH15" s="89"/>
      <c r="AI15" s="89"/>
      <c r="AJ15" s="89"/>
      <c r="AK15" s="95"/>
      <c r="AL15" s="90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V8"/>
  <sheetViews>
    <sheetView zoomScale="85" zoomScaleNormal="85" workbookViewId="0">
      <selection activeCell="K29" sqref="K29"/>
    </sheetView>
  </sheetViews>
  <sheetFormatPr defaultRowHeight="15"/>
  <cols>
    <col min="5" max="5" width="9.140625" style="3"/>
    <col min="6" max="6" width="9.140625" style="91"/>
    <col min="8" max="22" width="9.140625" style="3"/>
  </cols>
  <sheetData>
    <row r="1" spans="1:22" ht="16.5">
      <c r="A1" s="82" t="s">
        <v>139</v>
      </c>
    </row>
    <row r="2" spans="1:22" ht="16.5">
      <c r="A2" s="82" t="s">
        <v>50</v>
      </c>
    </row>
    <row r="3" spans="1:22" ht="15.75">
      <c r="A3" s="80" t="s">
        <v>140</v>
      </c>
    </row>
    <row r="4" spans="1:22" ht="15.75" thickBot="1"/>
    <row r="5" spans="1:22" s="81" customFormat="1">
      <c r="A5" s="102" t="s">
        <v>124</v>
      </c>
      <c r="B5" s="103" t="s">
        <v>125</v>
      </c>
      <c r="C5" s="103" t="s">
        <v>16</v>
      </c>
      <c r="D5" s="103" t="s">
        <v>85</v>
      </c>
      <c r="E5" s="104" t="s">
        <v>86</v>
      </c>
      <c r="F5" s="105" t="s">
        <v>126</v>
      </c>
      <c r="G5" s="103" t="s">
        <v>34</v>
      </c>
      <c r="H5" s="104" t="s">
        <v>241</v>
      </c>
      <c r="I5" s="104" t="s">
        <v>127</v>
      </c>
      <c r="J5" s="104" t="s">
        <v>128</v>
      </c>
      <c r="K5" s="104" t="s">
        <v>129</v>
      </c>
      <c r="L5" s="104" t="s">
        <v>130</v>
      </c>
      <c r="M5" s="104" t="s">
        <v>131</v>
      </c>
      <c r="N5" s="104" t="s">
        <v>132</v>
      </c>
      <c r="O5" s="104" t="s">
        <v>133</v>
      </c>
      <c r="P5" s="104" t="s">
        <v>134</v>
      </c>
      <c r="Q5" s="104" t="s">
        <v>135</v>
      </c>
      <c r="R5" s="104" t="s">
        <v>136</v>
      </c>
      <c r="S5" s="104" t="s">
        <v>137</v>
      </c>
      <c r="T5" s="107" t="s">
        <v>138</v>
      </c>
      <c r="U5" s="107" t="s">
        <v>33</v>
      </c>
      <c r="V5" s="106" t="s">
        <v>185</v>
      </c>
    </row>
    <row r="6" spans="1:22">
      <c r="A6" s="97"/>
      <c r="B6" s="98"/>
      <c r="C6" s="98"/>
      <c r="D6" s="98"/>
      <c r="E6" s="99"/>
      <c r="F6" s="100"/>
      <c r="G6" s="98"/>
      <c r="H6" s="99"/>
      <c r="I6" s="99"/>
      <c r="J6" s="99"/>
      <c r="K6" s="99"/>
      <c r="L6" s="99"/>
      <c r="M6" s="99"/>
      <c r="N6" s="99"/>
      <c r="O6" s="99"/>
      <c r="P6" s="99"/>
      <c r="Q6" s="99"/>
      <c r="R6" s="99"/>
      <c r="S6" s="99"/>
      <c r="T6" s="108"/>
      <c r="U6" s="108"/>
      <c r="V6" s="101"/>
    </row>
    <row r="7" spans="1:22">
      <c r="A7" s="83"/>
      <c r="B7" s="84"/>
      <c r="C7" s="84"/>
      <c r="D7" s="84"/>
      <c r="E7" s="87"/>
      <c r="F7" s="92"/>
      <c r="G7" s="84"/>
      <c r="H7" s="87"/>
      <c r="I7" s="87"/>
      <c r="J7" s="87"/>
      <c r="K7" s="87"/>
      <c r="L7" s="87"/>
      <c r="M7" s="87"/>
      <c r="N7" s="87"/>
      <c r="O7" s="87"/>
      <c r="P7" s="87"/>
      <c r="Q7" s="87"/>
      <c r="R7" s="87"/>
      <c r="S7" s="87"/>
      <c r="T7" s="94"/>
      <c r="U7" s="94"/>
      <c r="V7" s="88"/>
    </row>
    <row r="8" spans="1:22" ht="15.75" thickBot="1">
      <c r="A8" s="85"/>
      <c r="B8" s="86"/>
      <c r="C8" s="86"/>
      <c r="D8" s="86"/>
      <c r="E8" s="89"/>
      <c r="F8" s="93"/>
      <c r="G8" s="86"/>
      <c r="H8" s="89"/>
      <c r="I8" s="89"/>
      <c r="J8" s="89"/>
      <c r="K8" s="89"/>
      <c r="L8" s="89"/>
      <c r="M8" s="89"/>
      <c r="N8" s="89"/>
      <c r="O8" s="89"/>
      <c r="P8" s="89"/>
      <c r="Q8" s="89"/>
      <c r="R8" s="89"/>
      <c r="S8" s="89"/>
      <c r="T8" s="95"/>
      <c r="U8" s="95"/>
      <c r="V8" s="90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U10"/>
  <sheetViews>
    <sheetView zoomScale="85" zoomScaleNormal="85" workbookViewId="0">
      <selection activeCell="H36" sqref="H36"/>
    </sheetView>
  </sheetViews>
  <sheetFormatPr defaultRowHeight="15"/>
  <cols>
    <col min="1" max="1" width="9.140625" style="133"/>
    <col min="2" max="2" width="9.140625" style="129"/>
    <col min="4" max="4" width="12" style="2" bestFit="1" customWidth="1"/>
    <col min="5" max="6" width="12" style="43" customWidth="1"/>
    <col min="7" max="19" width="9.140625" style="109"/>
    <col min="20" max="20" width="15.140625" style="109" bestFit="1" customWidth="1"/>
    <col min="21" max="21" width="18.7109375" style="109" bestFit="1" customWidth="1"/>
  </cols>
  <sheetData>
    <row r="1" spans="1:21" s="138" customFormat="1" ht="16.5">
      <c r="A1" s="137" t="s">
        <v>155</v>
      </c>
      <c r="D1" s="139"/>
      <c r="E1" s="140"/>
      <c r="F1" s="140"/>
      <c r="G1" s="141"/>
      <c r="H1" s="151"/>
      <c r="I1" s="141"/>
      <c r="J1" s="141"/>
      <c r="K1" s="141"/>
      <c r="L1" s="141"/>
      <c r="M1" s="141"/>
      <c r="N1" s="141"/>
      <c r="O1" s="141"/>
      <c r="P1" s="141"/>
      <c r="Q1" s="141"/>
      <c r="R1" s="141"/>
      <c r="S1" s="141"/>
      <c r="T1" s="141"/>
      <c r="U1" s="141"/>
    </row>
    <row r="2" spans="1:21" s="138" customFormat="1" ht="16.5">
      <c r="A2" s="137" t="s">
        <v>50</v>
      </c>
      <c r="D2" s="139"/>
      <c r="E2" s="140"/>
      <c r="F2" s="140"/>
      <c r="G2" s="141"/>
      <c r="H2" s="15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</row>
    <row r="3" spans="1:21" s="138" customFormat="1" ht="15.75">
      <c r="A3" s="142" t="s">
        <v>140</v>
      </c>
      <c r="D3" s="139"/>
      <c r="E3" s="140"/>
      <c r="F3" s="140"/>
      <c r="G3" s="141"/>
      <c r="H3" s="15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</row>
    <row r="4" spans="1:21" ht="15.75" thickBot="1">
      <c r="A4" s="143"/>
    </row>
    <row r="5" spans="1:21" s="96" customFormat="1">
      <c r="A5" s="232" t="s">
        <v>124</v>
      </c>
      <c r="B5" s="229" t="s">
        <v>125</v>
      </c>
      <c r="C5" s="229" t="s">
        <v>16</v>
      </c>
      <c r="D5" s="244" t="s">
        <v>23</v>
      </c>
      <c r="E5" s="241" t="s">
        <v>159</v>
      </c>
      <c r="F5" s="242"/>
      <c r="G5" s="242"/>
      <c r="H5" s="242"/>
      <c r="I5" s="242"/>
      <c r="J5" s="242"/>
      <c r="K5" s="242"/>
      <c r="L5" s="242"/>
      <c r="M5" s="242"/>
      <c r="N5" s="242"/>
      <c r="O5" s="242"/>
      <c r="P5" s="242"/>
      <c r="Q5" s="242"/>
      <c r="R5" s="242"/>
      <c r="S5" s="242"/>
      <c r="T5" s="243"/>
      <c r="U5" s="235" t="s">
        <v>161</v>
      </c>
    </row>
    <row r="6" spans="1:21" s="96" customFormat="1">
      <c r="A6" s="233"/>
      <c r="B6" s="230"/>
      <c r="C6" s="230"/>
      <c r="D6" s="245"/>
      <c r="E6" s="110" t="s">
        <v>156</v>
      </c>
      <c r="F6" s="110" t="s">
        <v>157</v>
      </c>
      <c r="G6" s="238" t="s">
        <v>158</v>
      </c>
      <c r="H6" s="239"/>
      <c r="I6" s="239"/>
      <c r="J6" s="239"/>
      <c r="K6" s="239"/>
      <c r="L6" s="239"/>
      <c r="M6" s="239"/>
      <c r="N6" s="239"/>
      <c r="O6" s="239"/>
      <c r="P6" s="239"/>
      <c r="Q6" s="239"/>
      <c r="R6" s="239"/>
      <c r="S6" s="239"/>
      <c r="T6" s="240"/>
      <c r="U6" s="236"/>
    </row>
    <row r="7" spans="1:21" s="96" customFormat="1">
      <c r="A7" s="234"/>
      <c r="B7" s="231"/>
      <c r="C7" s="231"/>
      <c r="D7" s="246"/>
      <c r="E7" s="111"/>
      <c r="F7" s="111"/>
      <c r="G7" s="112" t="s">
        <v>240</v>
      </c>
      <c r="H7" s="112" t="s">
        <v>127</v>
      </c>
      <c r="I7" s="112" t="s">
        <v>128</v>
      </c>
      <c r="J7" s="112" t="s">
        <v>129</v>
      </c>
      <c r="K7" s="112" t="s">
        <v>130</v>
      </c>
      <c r="L7" s="112" t="s">
        <v>131</v>
      </c>
      <c r="M7" s="112" t="s">
        <v>132</v>
      </c>
      <c r="N7" s="112" t="s">
        <v>133</v>
      </c>
      <c r="O7" s="112" t="s">
        <v>134</v>
      </c>
      <c r="P7" s="112" t="s">
        <v>135</v>
      </c>
      <c r="Q7" s="112" t="s">
        <v>136</v>
      </c>
      <c r="R7" s="112" t="s">
        <v>137</v>
      </c>
      <c r="S7" s="113" t="s">
        <v>138</v>
      </c>
      <c r="T7" s="113" t="s">
        <v>160</v>
      </c>
      <c r="U7" s="237"/>
    </row>
    <row r="8" spans="1:21">
      <c r="A8" s="134"/>
      <c r="B8" s="130"/>
      <c r="C8" s="98"/>
      <c r="D8" s="126"/>
      <c r="E8" s="114"/>
      <c r="F8" s="114"/>
      <c r="G8" s="115"/>
      <c r="H8" s="115"/>
      <c r="I8" s="115"/>
      <c r="J8" s="115"/>
      <c r="K8" s="115"/>
      <c r="L8" s="115"/>
      <c r="M8" s="115"/>
      <c r="N8" s="115"/>
      <c r="O8" s="115"/>
      <c r="P8" s="115"/>
      <c r="Q8" s="115"/>
      <c r="R8" s="115"/>
      <c r="S8" s="116"/>
      <c r="T8" s="116"/>
      <c r="U8" s="117"/>
    </row>
    <row r="9" spans="1:21">
      <c r="A9" s="135"/>
      <c r="B9" s="131"/>
      <c r="C9" s="84"/>
      <c r="D9" s="127"/>
      <c r="E9" s="118"/>
      <c r="F9" s="118"/>
      <c r="G9" s="119"/>
      <c r="H9" s="119"/>
      <c r="I9" s="119"/>
      <c r="J9" s="119"/>
      <c r="K9" s="119"/>
      <c r="L9" s="119"/>
      <c r="M9" s="119"/>
      <c r="N9" s="119"/>
      <c r="O9" s="119"/>
      <c r="P9" s="119"/>
      <c r="Q9" s="119"/>
      <c r="R9" s="119"/>
      <c r="S9" s="120"/>
      <c r="T9" s="120"/>
      <c r="U9" s="121"/>
    </row>
    <row r="10" spans="1:21" ht="15.75" thickBot="1">
      <c r="A10" s="136"/>
      <c r="B10" s="132"/>
      <c r="C10" s="86"/>
      <c r="D10" s="128"/>
      <c r="E10" s="122"/>
      <c r="F10" s="122"/>
      <c r="G10" s="123"/>
      <c r="H10" s="123"/>
      <c r="I10" s="123"/>
      <c r="J10" s="123"/>
      <c r="K10" s="123"/>
      <c r="L10" s="123"/>
      <c r="M10" s="123"/>
      <c r="N10" s="123"/>
      <c r="O10" s="123"/>
      <c r="P10" s="123"/>
      <c r="Q10" s="123"/>
      <c r="R10" s="123"/>
      <c r="S10" s="124"/>
      <c r="T10" s="124"/>
      <c r="U10" s="125"/>
    </row>
  </sheetData>
  <mergeCells count="7">
    <mergeCell ref="B5:B7"/>
    <mergeCell ref="A5:A7"/>
    <mergeCell ref="U5:U7"/>
    <mergeCell ref="G6:T6"/>
    <mergeCell ref="E5:T5"/>
    <mergeCell ref="D5:D7"/>
    <mergeCell ref="C5:C7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P15"/>
  <sheetViews>
    <sheetView zoomScale="85" zoomScaleNormal="85" workbookViewId="0">
      <pane ySplit="7" topLeftCell="A8" activePane="bottomLeft" state="frozen"/>
      <selection pane="bottomLeft"/>
    </sheetView>
  </sheetViews>
  <sheetFormatPr defaultRowHeight="15"/>
  <cols>
    <col min="1" max="1" width="9.140625" style="133"/>
    <col min="2" max="2" width="12" style="178" bestFit="1" customWidth="1"/>
    <col min="3" max="3" width="6.140625" bestFit="1" customWidth="1"/>
    <col min="4" max="4" width="12.140625" style="2" bestFit="1" customWidth="1"/>
    <col min="5" max="6" width="7.7109375" style="43" bestFit="1" customWidth="1"/>
    <col min="7" max="7" width="15.85546875" style="109" bestFit="1" customWidth="1"/>
    <col min="8" max="8" width="7.7109375" style="109" bestFit="1" customWidth="1"/>
    <col min="9" max="9" width="4.28515625" style="109" bestFit="1" customWidth="1"/>
    <col min="10" max="10" width="4.5703125" style="109" bestFit="1" customWidth="1"/>
    <col min="11" max="11" width="4.140625" style="109" bestFit="1" customWidth="1"/>
    <col min="12" max="12" width="4.5703125" style="109" bestFit="1" customWidth="1"/>
    <col min="13" max="13" width="4" style="109" bestFit="1" customWidth="1"/>
    <col min="14" max="14" width="3.42578125" style="109" bestFit="1" customWidth="1"/>
    <col min="15" max="15" width="4.140625" style="109" bestFit="1" customWidth="1"/>
    <col min="16" max="16" width="4.28515625" style="109" bestFit="1" customWidth="1"/>
    <col min="17" max="17" width="4.140625" style="109" bestFit="1" customWidth="1"/>
    <col min="18" max="18" width="4.5703125" style="109" bestFit="1" customWidth="1"/>
    <col min="19" max="19" width="4.28515625" style="109" bestFit="1" customWidth="1"/>
    <col min="20" max="20" width="15.140625" style="109" bestFit="1" customWidth="1"/>
    <col min="21" max="21" width="17.28515625" style="109" bestFit="1" customWidth="1"/>
    <col min="24" max="24" width="12" bestFit="1" customWidth="1"/>
    <col min="25" max="25" width="6.140625" bestFit="1" customWidth="1"/>
    <col min="26" max="26" width="12.140625" bestFit="1" customWidth="1"/>
    <col min="27" max="29" width="6.7109375" bestFit="1" customWidth="1"/>
    <col min="30" max="30" width="4.28515625" bestFit="1" customWidth="1"/>
    <col min="31" max="31" width="4.5703125" bestFit="1" customWidth="1"/>
    <col min="32" max="32" width="4.140625" bestFit="1" customWidth="1"/>
    <col min="33" max="33" width="4.5703125" bestFit="1" customWidth="1"/>
    <col min="34" max="34" width="4" bestFit="1" customWidth="1"/>
    <col min="35" max="35" width="3.42578125" bestFit="1" customWidth="1"/>
    <col min="36" max="36" width="4.140625" bestFit="1" customWidth="1"/>
    <col min="37" max="37" width="4.28515625" bestFit="1" customWidth="1"/>
    <col min="38" max="38" width="4.140625" bestFit="1" customWidth="1"/>
    <col min="39" max="39" width="4.5703125" bestFit="1" customWidth="1"/>
    <col min="40" max="40" width="4.28515625" bestFit="1" customWidth="1"/>
    <col min="41" max="41" width="15.140625" bestFit="1" customWidth="1"/>
    <col min="42" max="42" width="17.28515625" bestFit="1" customWidth="1"/>
  </cols>
  <sheetData>
    <row r="1" spans="1:42" s="138" customFormat="1" ht="16.5">
      <c r="A1" s="137" t="s">
        <v>267</v>
      </c>
      <c r="D1" s="139"/>
      <c r="E1" s="140"/>
      <c r="F1" s="140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W1" s="137" t="s">
        <v>268</v>
      </c>
    </row>
    <row r="2" spans="1:42" s="138" customFormat="1" ht="16.5">
      <c r="A2" s="137" t="s">
        <v>50</v>
      </c>
      <c r="D2" s="139"/>
      <c r="E2" s="140"/>
      <c r="F2" s="140"/>
      <c r="G2" s="165"/>
      <c r="H2" s="165"/>
      <c r="I2" s="165"/>
      <c r="J2" s="165"/>
      <c r="K2" s="165"/>
      <c r="L2" s="165"/>
      <c r="M2" s="165"/>
      <c r="N2" s="165"/>
      <c r="O2" s="165"/>
      <c r="P2" s="165"/>
      <c r="Q2" s="165"/>
      <c r="R2" s="165"/>
      <c r="S2" s="165"/>
      <c r="T2" s="165"/>
      <c r="U2" s="165"/>
      <c r="W2" s="137" t="s">
        <v>50</v>
      </c>
    </row>
    <row r="3" spans="1:42" s="138" customFormat="1" ht="15.75">
      <c r="A3" s="142" t="s">
        <v>140</v>
      </c>
      <c r="D3" s="139"/>
      <c r="E3" s="140"/>
      <c r="F3" s="140"/>
      <c r="G3" s="165"/>
      <c r="H3" s="165"/>
      <c r="I3" s="165"/>
      <c r="J3" s="165"/>
      <c r="K3" s="165"/>
      <c r="L3" s="165"/>
      <c r="M3" s="165"/>
      <c r="N3" s="165"/>
      <c r="O3" s="165"/>
      <c r="P3" s="165"/>
      <c r="Q3" s="165"/>
      <c r="R3" s="165"/>
      <c r="S3" s="165"/>
      <c r="T3" s="165"/>
      <c r="U3" s="165"/>
      <c r="W3" s="142" t="s">
        <v>140</v>
      </c>
    </row>
    <row r="4" spans="1:42" ht="15.75" thickBot="1">
      <c r="A4" s="143" t="s">
        <v>220</v>
      </c>
      <c r="W4" s="143" t="s">
        <v>220</v>
      </c>
    </row>
    <row r="5" spans="1:42" s="96" customFormat="1">
      <c r="A5" s="232" t="s">
        <v>124</v>
      </c>
      <c r="B5" s="229" t="s">
        <v>125</v>
      </c>
      <c r="C5" s="229" t="s">
        <v>16</v>
      </c>
      <c r="D5" s="244" t="s">
        <v>23</v>
      </c>
      <c r="E5" s="241" t="s">
        <v>159</v>
      </c>
      <c r="F5" s="242"/>
      <c r="G5" s="242"/>
      <c r="H5" s="242"/>
      <c r="I5" s="242"/>
      <c r="J5" s="242"/>
      <c r="K5" s="242"/>
      <c r="L5" s="242"/>
      <c r="M5" s="242"/>
      <c r="N5" s="242"/>
      <c r="O5" s="242"/>
      <c r="P5" s="242"/>
      <c r="Q5" s="242"/>
      <c r="R5" s="242"/>
      <c r="S5" s="242"/>
      <c r="T5" s="243"/>
      <c r="U5" s="235" t="s">
        <v>161</v>
      </c>
      <c r="W5" s="232" t="s">
        <v>124</v>
      </c>
      <c r="X5" s="229" t="s">
        <v>125</v>
      </c>
      <c r="Y5" s="229" t="s">
        <v>16</v>
      </c>
      <c r="Z5" s="244" t="s">
        <v>23</v>
      </c>
      <c r="AA5" s="241" t="s">
        <v>159</v>
      </c>
      <c r="AB5" s="242"/>
      <c r="AC5" s="242"/>
      <c r="AD5" s="242"/>
      <c r="AE5" s="242"/>
      <c r="AF5" s="242"/>
      <c r="AG5" s="242"/>
      <c r="AH5" s="242"/>
      <c r="AI5" s="242"/>
      <c r="AJ5" s="242"/>
      <c r="AK5" s="242"/>
      <c r="AL5" s="242"/>
      <c r="AM5" s="242"/>
      <c r="AN5" s="242"/>
      <c r="AO5" s="243"/>
      <c r="AP5" s="235" t="s">
        <v>161</v>
      </c>
    </row>
    <row r="6" spans="1:42" s="96" customFormat="1">
      <c r="A6" s="233"/>
      <c r="B6" s="230"/>
      <c r="C6" s="230"/>
      <c r="D6" s="245"/>
      <c r="E6" s="110" t="s">
        <v>156</v>
      </c>
      <c r="F6" s="110" t="s">
        <v>157</v>
      </c>
      <c r="G6" s="238" t="s">
        <v>158</v>
      </c>
      <c r="H6" s="239"/>
      <c r="I6" s="239"/>
      <c r="J6" s="239"/>
      <c r="K6" s="239"/>
      <c r="L6" s="239"/>
      <c r="M6" s="239"/>
      <c r="N6" s="239"/>
      <c r="O6" s="239"/>
      <c r="P6" s="239"/>
      <c r="Q6" s="239"/>
      <c r="R6" s="239"/>
      <c r="S6" s="239"/>
      <c r="T6" s="240"/>
      <c r="U6" s="236"/>
      <c r="W6" s="233"/>
      <c r="X6" s="230"/>
      <c r="Y6" s="230"/>
      <c r="Z6" s="245"/>
      <c r="AA6" s="110" t="s">
        <v>156</v>
      </c>
      <c r="AB6" s="110" t="s">
        <v>157</v>
      </c>
      <c r="AC6" s="239"/>
      <c r="AD6" s="239"/>
      <c r="AE6" s="239"/>
      <c r="AF6" s="239"/>
      <c r="AG6" s="239"/>
      <c r="AH6" s="239"/>
      <c r="AI6" s="239"/>
      <c r="AJ6" s="239"/>
      <c r="AK6" s="239"/>
      <c r="AL6" s="239"/>
      <c r="AM6" s="239"/>
      <c r="AN6" s="239"/>
      <c r="AO6" s="240"/>
      <c r="AP6" s="236"/>
    </row>
    <row r="7" spans="1:42" s="96" customFormat="1">
      <c r="A7" s="234"/>
      <c r="B7" s="231"/>
      <c r="C7" s="231"/>
      <c r="D7" s="246"/>
      <c r="E7" s="111"/>
      <c r="F7" s="111"/>
      <c r="G7" s="112" t="s">
        <v>244</v>
      </c>
      <c r="H7" s="112" t="s">
        <v>127</v>
      </c>
      <c r="I7" s="112" t="s">
        <v>128</v>
      </c>
      <c r="J7" s="112" t="s">
        <v>129</v>
      </c>
      <c r="K7" s="112" t="s">
        <v>130</v>
      </c>
      <c r="L7" s="112" t="s">
        <v>131</v>
      </c>
      <c r="M7" s="112" t="s">
        <v>132</v>
      </c>
      <c r="N7" s="112" t="s">
        <v>133</v>
      </c>
      <c r="O7" s="112" t="s">
        <v>134</v>
      </c>
      <c r="P7" s="112" t="s">
        <v>135</v>
      </c>
      <c r="Q7" s="112" t="s">
        <v>136</v>
      </c>
      <c r="R7" s="112" t="s">
        <v>137</v>
      </c>
      <c r="S7" s="113" t="s">
        <v>138</v>
      </c>
      <c r="T7" s="113" t="s">
        <v>160</v>
      </c>
      <c r="U7" s="237"/>
      <c r="W7" s="234"/>
      <c r="X7" s="231"/>
      <c r="Y7" s="231"/>
      <c r="Z7" s="246"/>
      <c r="AA7" s="111"/>
      <c r="AB7" s="111"/>
      <c r="AC7" s="112" t="s">
        <v>127</v>
      </c>
      <c r="AD7" s="112" t="s">
        <v>128</v>
      </c>
      <c r="AE7" s="112" t="s">
        <v>129</v>
      </c>
      <c r="AF7" s="112" t="s">
        <v>130</v>
      </c>
      <c r="AG7" s="112" t="s">
        <v>131</v>
      </c>
      <c r="AH7" s="112" t="s">
        <v>132</v>
      </c>
      <c r="AI7" s="112" t="s">
        <v>133</v>
      </c>
      <c r="AJ7" s="112" t="s">
        <v>134</v>
      </c>
      <c r="AK7" s="112" t="s">
        <v>135</v>
      </c>
      <c r="AL7" s="112" t="s">
        <v>136</v>
      </c>
      <c r="AM7" s="112" t="s">
        <v>137</v>
      </c>
      <c r="AN7" s="113" t="s">
        <v>138</v>
      </c>
      <c r="AO7" s="113" t="s">
        <v>160</v>
      </c>
      <c r="AP7" s="237"/>
    </row>
    <row r="8" spans="1:42">
      <c r="A8" s="134">
        <v>1</v>
      </c>
      <c r="B8" s="130">
        <v>1</v>
      </c>
      <c r="C8" s="98" t="s">
        <v>142</v>
      </c>
      <c r="D8" s="126">
        <v>42030</v>
      </c>
      <c r="E8" s="114">
        <v>100000</v>
      </c>
      <c r="F8" s="114">
        <v>60000</v>
      </c>
      <c r="G8" s="115">
        <v>0</v>
      </c>
      <c r="H8" s="115">
        <v>120000</v>
      </c>
      <c r="I8" s="115">
        <v>0</v>
      </c>
      <c r="J8" s="115">
        <v>0</v>
      </c>
      <c r="K8" s="115">
        <v>0</v>
      </c>
      <c r="L8" s="115">
        <v>0</v>
      </c>
      <c r="M8" s="115">
        <v>0</v>
      </c>
      <c r="N8" s="115">
        <v>0</v>
      </c>
      <c r="O8" s="115">
        <v>0</v>
      </c>
      <c r="P8" s="115">
        <v>0</v>
      </c>
      <c r="Q8" s="115">
        <v>0</v>
      </c>
      <c r="R8" s="115">
        <v>0</v>
      </c>
      <c r="S8" s="115">
        <v>0</v>
      </c>
      <c r="T8" s="116">
        <f>SUM(H8:S8)</f>
        <v>120000</v>
      </c>
      <c r="U8" s="117">
        <f>E8+F8+T8</f>
        <v>280000</v>
      </c>
      <c r="W8" s="134">
        <v>1</v>
      </c>
      <c r="X8" s="130">
        <v>1</v>
      </c>
      <c r="Y8" s="98" t="s">
        <v>142</v>
      </c>
      <c r="Z8" s="126">
        <v>42030</v>
      </c>
      <c r="AA8" s="114">
        <f>E8/'SHU Total'!$E$6*'SHU Total'!$E$17</f>
        <v>13076.923076923078</v>
      </c>
      <c r="AB8" s="114">
        <f>F8/'SHU Total'!$E$6*'SHU Total'!$E$17</f>
        <v>7846.1538461538457</v>
      </c>
      <c r="AC8" s="115">
        <f>H8/'SHU Total'!$E$6*'SHU Total'!$E$17</f>
        <v>15692.307692307691</v>
      </c>
      <c r="AD8" s="115">
        <f>I8/'SHU Total'!$E$6*'SHU Total'!$E$17</f>
        <v>0</v>
      </c>
      <c r="AE8" s="115">
        <f>J8/'SHU Total'!$E$6*'SHU Total'!$E$17</f>
        <v>0</v>
      </c>
      <c r="AF8" s="115">
        <f>K8/'SHU Total'!$E$6*'SHU Total'!$E$17</f>
        <v>0</v>
      </c>
      <c r="AG8" s="115">
        <f>L8/'SHU Total'!$E$6*'SHU Total'!$E$17</f>
        <v>0</v>
      </c>
      <c r="AH8" s="115">
        <f>M8/'SHU Total'!$E$6*'SHU Total'!$E$17</f>
        <v>0</v>
      </c>
      <c r="AI8" s="115">
        <f>N8/'SHU Total'!$E$6*'SHU Total'!$E$17</f>
        <v>0</v>
      </c>
      <c r="AJ8" s="115">
        <f>O8/'SHU Total'!$E$6*'SHU Total'!$E$17</f>
        <v>0</v>
      </c>
      <c r="AK8" s="115">
        <f>P8/'SHU Total'!$E$6*'SHU Total'!$E$17</f>
        <v>0</v>
      </c>
      <c r="AL8" s="115">
        <f>Q8/'SHU Total'!$E$6*'SHU Total'!$E$17</f>
        <v>0</v>
      </c>
      <c r="AM8" s="115">
        <f>R8/'SHU Total'!$E$6*'SHU Total'!$E$17</f>
        <v>0</v>
      </c>
      <c r="AN8" s="115">
        <f>S8/'SHU Total'!$E$6*'SHU Total'!$E$17</f>
        <v>0</v>
      </c>
      <c r="AO8" s="116">
        <f>SUM(AC8:AN8)</f>
        <v>15692.307692307691</v>
      </c>
      <c r="AP8" s="117">
        <f>AA8+AB8+AO8</f>
        <v>36615.38461538461</v>
      </c>
    </row>
    <row r="9" spans="1:42">
      <c r="A9" s="134">
        <v>2</v>
      </c>
      <c r="B9" s="130">
        <v>2</v>
      </c>
      <c r="C9" s="98" t="s">
        <v>148</v>
      </c>
      <c r="D9" s="126">
        <v>42030</v>
      </c>
      <c r="E9" s="114">
        <v>100000</v>
      </c>
      <c r="F9" s="114">
        <v>30000</v>
      </c>
      <c r="G9" s="115">
        <v>0</v>
      </c>
      <c r="H9" s="115">
        <v>10000</v>
      </c>
      <c r="I9" s="115">
        <v>0</v>
      </c>
      <c r="J9" s="115">
        <v>0</v>
      </c>
      <c r="K9" s="115">
        <v>0</v>
      </c>
      <c r="L9" s="115">
        <v>0</v>
      </c>
      <c r="M9" s="115">
        <v>0</v>
      </c>
      <c r="N9" s="115">
        <v>0</v>
      </c>
      <c r="O9" s="115">
        <v>0</v>
      </c>
      <c r="P9" s="115">
        <v>0</v>
      </c>
      <c r="Q9" s="115">
        <v>0</v>
      </c>
      <c r="R9" s="115">
        <v>0</v>
      </c>
      <c r="S9" s="116">
        <v>0</v>
      </c>
      <c r="T9" s="116">
        <f t="shared" ref="T9:T12" si="0">SUM(H9:S9)</f>
        <v>10000</v>
      </c>
      <c r="U9" s="117">
        <f t="shared" ref="U9:U12" si="1">E9+F9+T9</f>
        <v>140000</v>
      </c>
      <c r="W9" s="134">
        <v>2</v>
      </c>
      <c r="X9" s="130">
        <v>2</v>
      </c>
      <c r="Y9" s="98" t="s">
        <v>148</v>
      </c>
      <c r="Z9" s="126">
        <v>42030</v>
      </c>
      <c r="AA9" s="114">
        <f>E9/'SHU Total'!$E$6*'SHU Total'!$E$17</f>
        <v>13076.923076923078</v>
      </c>
      <c r="AB9" s="114">
        <f>F9/'SHU Total'!$E$6*'SHU Total'!$E$17</f>
        <v>3923.0769230769229</v>
      </c>
      <c r="AC9" s="115">
        <f>H9/'SHU Total'!$E$6*'SHU Total'!$E$17</f>
        <v>1307.6923076923078</v>
      </c>
      <c r="AD9" s="115">
        <f>I9/'SHU Total'!$E$6*'SHU Total'!$E$17</f>
        <v>0</v>
      </c>
      <c r="AE9" s="115">
        <f>J9/'SHU Total'!$E$6*'SHU Total'!$E$17</f>
        <v>0</v>
      </c>
      <c r="AF9" s="115">
        <f>K9/'SHU Total'!$E$6*'SHU Total'!$E$17</f>
        <v>0</v>
      </c>
      <c r="AG9" s="115">
        <f>L9/'SHU Total'!$E$6*'SHU Total'!$E$17</f>
        <v>0</v>
      </c>
      <c r="AH9" s="115">
        <f>M9/'SHU Total'!$E$6*'SHU Total'!$E$17</f>
        <v>0</v>
      </c>
      <c r="AI9" s="115">
        <f>N9/'SHU Total'!$E$6*'SHU Total'!$E$17</f>
        <v>0</v>
      </c>
      <c r="AJ9" s="115">
        <f>O9/'SHU Total'!$E$6*'SHU Total'!$E$17</f>
        <v>0</v>
      </c>
      <c r="AK9" s="115">
        <f>P9/'SHU Total'!$E$6*'SHU Total'!$E$17</f>
        <v>0</v>
      </c>
      <c r="AL9" s="115">
        <f>Q9/'SHU Total'!$E$6*'SHU Total'!$E$17</f>
        <v>0</v>
      </c>
      <c r="AM9" s="115">
        <f>R9/'SHU Total'!$E$6*'SHU Total'!$E$17</f>
        <v>0</v>
      </c>
      <c r="AN9" s="116">
        <f>S9/'SHU Total'!$E$6*'SHU Total'!$E$17</f>
        <v>0</v>
      </c>
      <c r="AO9" s="116">
        <f t="shared" ref="AO9:AO12" si="2">SUM(AC9:AN9)</f>
        <v>1307.6923076923078</v>
      </c>
      <c r="AP9" s="117">
        <f t="shared" ref="AP9:AP12" si="3">AA9+AB9+AO9</f>
        <v>18307.692307692309</v>
      </c>
    </row>
    <row r="10" spans="1:42">
      <c r="A10" s="134">
        <v>3</v>
      </c>
      <c r="B10" s="130">
        <v>3</v>
      </c>
      <c r="C10" s="98" t="s">
        <v>195</v>
      </c>
      <c r="D10" s="126">
        <v>42030</v>
      </c>
      <c r="E10" s="114">
        <v>100000</v>
      </c>
      <c r="F10" s="114">
        <v>30000</v>
      </c>
      <c r="G10" s="115">
        <v>0</v>
      </c>
      <c r="H10" s="115">
        <v>90000</v>
      </c>
      <c r="I10" s="115">
        <v>0</v>
      </c>
      <c r="J10" s="115">
        <v>0</v>
      </c>
      <c r="K10" s="115">
        <v>0</v>
      </c>
      <c r="L10" s="115">
        <v>0</v>
      </c>
      <c r="M10" s="115">
        <v>0</v>
      </c>
      <c r="N10" s="115">
        <v>0</v>
      </c>
      <c r="O10" s="115">
        <v>0</v>
      </c>
      <c r="P10" s="115">
        <v>0</v>
      </c>
      <c r="Q10" s="115">
        <v>0</v>
      </c>
      <c r="R10" s="115">
        <v>0</v>
      </c>
      <c r="S10" s="116">
        <v>0</v>
      </c>
      <c r="T10" s="116">
        <f t="shared" si="0"/>
        <v>90000</v>
      </c>
      <c r="U10" s="117">
        <f t="shared" si="1"/>
        <v>220000</v>
      </c>
      <c r="W10" s="134">
        <v>3</v>
      </c>
      <c r="X10" s="130">
        <v>3</v>
      </c>
      <c r="Y10" s="98" t="s">
        <v>195</v>
      </c>
      <c r="Z10" s="126">
        <v>42030</v>
      </c>
      <c r="AA10" s="114">
        <f>E10/'SHU Total'!$E$6*'SHU Total'!$E$17</f>
        <v>13076.923076923078</v>
      </c>
      <c r="AB10" s="114">
        <f>F10/'SHU Total'!$E$6*'SHU Total'!$E$17</f>
        <v>3923.0769230769229</v>
      </c>
      <c r="AC10" s="115">
        <f>H10/'SHU Total'!$E$6*'SHU Total'!$E$17</f>
        <v>11769.23076923077</v>
      </c>
      <c r="AD10" s="115">
        <f>I10/'SHU Total'!$E$6*'SHU Total'!$E$17</f>
        <v>0</v>
      </c>
      <c r="AE10" s="115">
        <f>J10/'SHU Total'!$E$6*'SHU Total'!$E$17</f>
        <v>0</v>
      </c>
      <c r="AF10" s="115">
        <f>K10/'SHU Total'!$E$6*'SHU Total'!$E$17</f>
        <v>0</v>
      </c>
      <c r="AG10" s="115">
        <f>L10/'SHU Total'!$E$6*'SHU Total'!$E$17</f>
        <v>0</v>
      </c>
      <c r="AH10" s="115">
        <f>M10/'SHU Total'!$E$6*'SHU Total'!$E$17</f>
        <v>0</v>
      </c>
      <c r="AI10" s="115">
        <f>N10/'SHU Total'!$E$6*'SHU Total'!$E$17</f>
        <v>0</v>
      </c>
      <c r="AJ10" s="115">
        <f>O10/'SHU Total'!$E$6*'SHU Total'!$E$17</f>
        <v>0</v>
      </c>
      <c r="AK10" s="115">
        <f>P10/'SHU Total'!$E$6*'SHU Total'!$E$17</f>
        <v>0</v>
      </c>
      <c r="AL10" s="115">
        <f>Q10/'SHU Total'!$E$6*'SHU Total'!$E$17</f>
        <v>0</v>
      </c>
      <c r="AM10" s="115">
        <f>R10/'SHU Total'!$E$6*'SHU Total'!$E$17</f>
        <v>0</v>
      </c>
      <c r="AN10" s="116">
        <f>S10/'SHU Total'!$E$6*'SHU Total'!$E$17</f>
        <v>0</v>
      </c>
      <c r="AO10" s="116">
        <f t="shared" si="2"/>
        <v>11769.23076923077</v>
      </c>
      <c r="AP10" s="117">
        <f t="shared" si="3"/>
        <v>28769.23076923077</v>
      </c>
    </row>
    <row r="11" spans="1:42">
      <c r="A11" s="134">
        <v>4</v>
      </c>
      <c r="B11" s="130">
        <v>4</v>
      </c>
      <c r="C11" s="98" t="s">
        <v>224</v>
      </c>
      <c r="D11" s="126">
        <v>42036</v>
      </c>
      <c r="E11" s="114">
        <v>100000</v>
      </c>
      <c r="F11" s="114">
        <v>60000</v>
      </c>
      <c r="G11" s="115">
        <v>0</v>
      </c>
      <c r="H11" s="115">
        <v>20000</v>
      </c>
      <c r="I11" s="115">
        <v>0</v>
      </c>
      <c r="J11" s="115">
        <v>0</v>
      </c>
      <c r="K11" s="115">
        <v>0</v>
      </c>
      <c r="L11" s="115">
        <v>0</v>
      </c>
      <c r="M11" s="115">
        <v>0</v>
      </c>
      <c r="N11" s="115">
        <v>0</v>
      </c>
      <c r="O11" s="115">
        <v>0</v>
      </c>
      <c r="P11" s="115">
        <v>0</v>
      </c>
      <c r="Q11" s="115">
        <v>0</v>
      </c>
      <c r="R11" s="115">
        <v>0</v>
      </c>
      <c r="S11" s="116">
        <v>0</v>
      </c>
      <c r="T11" s="116">
        <f t="shared" si="0"/>
        <v>20000</v>
      </c>
      <c r="U11" s="117">
        <f t="shared" si="1"/>
        <v>180000</v>
      </c>
      <c r="W11" s="134">
        <v>4</v>
      </c>
      <c r="X11" s="130">
        <v>4</v>
      </c>
      <c r="Y11" s="98" t="s">
        <v>224</v>
      </c>
      <c r="Z11" s="126">
        <v>42036</v>
      </c>
      <c r="AA11" s="114">
        <f>E11/'SHU Total'!$E$6*'SHU Total'!$E$17</f>
        <v>13076.923076923078</v>
      </c>
      <c r="AB11" s="114">
        <f>F11/'SHU Total'!$E$6*'SHU Total'!$E$17</f>
        <v>7846.1538461538457</v>
      </c>
      <c r="AC11" s="115">
        <f>H11/'SHU Total'!$E$6*'SHU Total'!$E$17</f>
        <v>2615.3846153846157</v>
      </c>
      <c r="AD11" s="115">
        <f>I11/'SHU Total'!$E$6*'SHU Total'!$E$17</f>
        <v>0</v>
      </c>
      <c r="AE11" s="115">
        <f>J11/'SHU Total'!$E$6*'SHU Total'!$E$17</f>
        <v>0</v>
      </c>
      <c r="AF11" s="115">
        <f>K11/'SHU Total'!$E$6*'SHU Total'!$E$17</f>
        <v>0</v>
      </c>
      <c r="AG11" s="115">
        <f>L11/'SHU Total'!$E$6*'SHU Total'!$E$17</f>
        <v>0</v>
      </c>
      <c r="AH11" s="115">
        <f>M11/'SHU Total'!$E$6*'SHU Total'!$E$17</f>
        <v>0</v>
      </c>
      <c r="AI11" s="115">
        <f>N11/'SHU Total'!$E$6*'SHU Total'!$E$17</f>
        <v>0</v>
      </c>
      <c r="AJ11" s="115">
        <f>O11/'SHU Total'!$E$6*'SHU Total'!$E$17</f>
        <v>0</v>
      </c>
      <c r="AK11" s="115">
        <f>P11/'SHU Total'!$E$6*'SHU Total'!$E$17</f>
        <v>0</v>
      </c>
      <c r="AL11" s="115">
        <f>Q11/'SHU Total'!$E$6*'SHU Total'!$E$17</f>
        <v>0</v>
      </c>
      <c r="AM11" s="115">
        <f>R11/'SHU Total'!$E$6*'SHU Total'!$E$17</f>
        <v>0</v>
      </c>
      <c r="AN11" s="116">
        <f>S11/'SHU Total'!$E$6*'SHU Total'!$E$17</f>
        <v>0</v>
      </c>
      <c r="AO11" s="116">
        <f t="shared" si="2"/>
        <v>2615.3846153846157</v>
      </c>
      <c r="AP11" s="117">
        <f t="shared" si="3"/>
        <v>23538.461538461539</v>
      </c>
    </row>
    <row r="12" spans="1:42">
      <c r="A12" s="134">
        <v>5</v>
      </c>
      <c r="B12" s="130">
        <v>5</v>
      </c>
      <c r="C12" s="98" t="s">
        <v>229</v>
      </c>
      <c r="D12" s="126">
        <v>42036</v>
      </c>
      <c r="E12" s="114">
        <v>100000</v>
      </c>
      <c r="F12" s="114">
        <v>0</v>
      </c>
      <c r="G12" s="115">
        <v>0</v>
      </c>
      <c r="H12" s="115">
        <v>250000</v>
      </c>
      <c r="I12" s="115">
        <v>0</v>
      </c>
      <c r="J12" s="115">
        <v>0</v>
      </c>
      <c r="K12" s="115">
        <v>0</v>
      </c>
      <c r="L12" s="115">
        <v>0</v>
      </c>
      <c r="M12" s="115">
        <v>0</v>
      </c>
      <c r="N12" s="115">
        <v>0</v>
      </c>
      <c r="O12" s="115">
        <v>0</v>
      </c>
      <c r="P12" s="115">
        <v>0</v>
      </c>
      <c r="Q12" s="115">
        <v>0</v>
      </c>
      <c r="R12" s="115">
        <v>0</v>
      </c>
      <c r="S12" s="116">
        <v>0</v>
      </c>
      <c r="T12" s="116">
        <f t="shared" si="0"/>
        <v>250000</v>
      </c>
      <c r="U12" s="117">
        <f t="shared" si="1"/>
        <v>350000</v>
      </c>
      <c r="W12" s="134">
        <v>5</v>
      </c>
      <c r="X12" s="130">
        <v>5</v>
      </c>
      <c r="Y12" s="98" t="s">
        <v>229</v>
      </c>
      <c r="Z12" s="126">
        <v>42036</v>
      </c>
      <c r="AA12" s="114">
        <f>E12/'SHU Total'!$E$6*'SHU Total'!$E$17</f>
        <v>13076.923076923078</v>
      </c>
      <c r="AB12" s="114">
        <f>F12/'SHU Total'!$E$6*'SHU Total'!$E$17</f>
        <v>0</v>
      </c>
      <c r="AC12" s="115">
        <f>H12/'SHU Total'!$E$6*'SHU Total'!$E$17</f>
        <v>32692.307692307691</v>
      </c>
      <c r="AD12" s="115">
        <f>I12/'SHU Total'!$E$6*'SHU Total'!$E$17</f>
        <v>0</v>
      </c>
      <c r="AE12" s="115">
        <f>J12/'SHU Total'!$E$6*'SHU Total'!$E$17</f>
        <v>0</v>
      </c>
      <c r="AF12" s="115">
        <f>K12/'SHU Total'!$E$6*'SHU Total'!$E$17</f>
        <v>0</v>
      </c>
      <c r="AG12" s="115">
        <f>L12/'SHU Total'!$E$6*'SHU Total'!$E$17</f>
        <v>0</v>
      </c>
      <c r="AH12" s="115">
        <f>M12/'SHU Total'!$E$6*'SHU Total'!$E$17</f>
        <v>0</v>
      </c>
      <c r="AI12" s="115">
        <f>N12/'SHU Total'!$E$6*'SHU Total'!$E$17</f>
        <v>0</v>
      </c>
      <c r="AJ12" s="115">
        <f>O12/'SHU Total'!$E$6*'SHU Total'!$E$17</f>
        <v>0</v>
      </c>
      <c r="AK12" s="115">
        <f>P12/'SHU Total'!$E$6*'SHU Total'!$E$17</f>
        <v>0</v>
      </c>
      <c r="AL12" s="115">
        <f>Q12/'SHU Total'!$E$6*'SHU Total'!$E$17</f>
        <v>0</v>
      </c>
      <c r="AM12" s="115">
        <f>R12/'SHU Total'!$E$6*'SHU Total'!$E$17</f>
        <v>0</v>
      </c>
      <c r="AN12" s="116">
        <f>S12/'SHU Total'!$E$6*'SHU Total'!$E$17</f>
        <v>0</v>
      </c>
      <c r="AO12" s="116">
        <f t="shared" si="2"/>
        <v>32692.307692307691</v>
      </c>
      <c r="AP12" s="117">
        <f t="shared" si="3"/>
        <v>45769.230769230766</v>
      </c>
    </row>
    <row r="13" spans="1:42">
      <c r="A13" s="134"/>
      <c r="B13" s="130"/>
      <c r="C13" s="98"/>
      <c r="D13" s="126"/>
      <c r="E13" s="114"/>
      <c r="F13" s="114"/>
      <c r="G13" s="115"/>
      <c r="H13" s="115"/>
      <c r="I13" s="115"/>
      <c r="J13" s="115"/>
      <c r="K13" s="115"/>
      <c r="L13" s="115"/>
      <c r="M13" s="115"/>
      <c r="N13" s="115"/>
      <c r="O13" s="115"/>
      <c r="P13" s="115"/>
      <c r="Q13" s="115"/>
      <c r="R13" s="115"/>
      <c r="S13" s="116"/>
      <c r="T13" s="116"/>
      <c r="U13" s="117"/>
      <c r="W13" s="134"/>
      <c r="X13" s="130"/>
      <c r="Y13" s="98"/>
      <c r="Z13" s="126"/>
      <c r="AA13" s="114"/>
      <c r="AB13" s="114"/>
      <c r="AC13" s="115"/>
      <c r="AD13" s="115"/>
      <c r="AE13" s="115"/>
      <c r="AF13" s="115"/>
      <c r="AG13" s="115"/>
      <c r="AH13" s="115"/>
      <c r="AI13" s="115"/>
      <c r="AJ13" s="115"/>
      <c r="AK13" s="115"/>
      <c r="AL13" s="115"/>
      <c r="AM13" s="115"/>
      <c r="AN13" s="116"/>
      <c r="AO13" s="116"/>
      <c r="AP13" s="117"/>
    </row>
    <row r="14" spans="1:42" s="81" customFormat="1">
      <c r="A14" s="158"/>
      <c r="B14" s="159"/>
      <c r="C14" s="149"/>
      <c r="D14" s="160" t="s">
        <v>221</v>
      </c>
      <c r="E14" s="161">
        <f>SUM(E5:E12)</f>
        <v>500000</v>
      </c>
      <c r="F14" s="161">
        <f t="shared" ref="F14:U14" si="4">SUM(F5:F12)</f>
        <v>180000</v>
      </c>
      <c r="G14" s="162">
        <f t="shared" si="4"/>
        <v>0</v>
      </c>
      <c r="H14" s="162">
        <f t="shared" si="4"/>
        <v>490000</v>
      </c>
      <c r="I14" s="162">
        <f t="shared" si="4"/>
        <v>0</v>
      </c>
      <c r="J14" s="162">
        <f t="shared" si="4"/>
        <v>0</v>
      </c>
      <c r="K14" s="162">
        <f t="shared" si="4"/>
        <v>0</v>
      </c>
      <c r="L14" s="162">
        <f t="shared" si="4"/>
        <v>0</v>
      </c>
      <c r="M14" s="162">
        <f t="shared" si="4"/>
        <v>0</v>
      </c>
      <c r="N14" s="162">
        <f t="shared" si="4"/>
        <v>0</v>
      </c>
      <c r="O14" s="162">
        <f t="shared" si="4"/>
        <v>0</v>
      </c>
      <c r="P14" s="162">
        <f t="shared" si="4"/>
        <v>0</v>
      </c>
      <c r="Q14" s="162">
        <f t="shared" si="4"/>
        <v>0</v>
      </c>
      <c r="R14" s="162">
        <f t="shared" si="4"/>
        <v>0</v>
      </c>
      <c r="S14" s="163">
        <f t="shared" si="4"/>
        <v>0</v>
      </c>
      <c r="T14" s="163">
        <f t="shared" si="4"/>
        <v>490000</v>
      </c>
      <c r="U14" s="164">
        <f t="shared" si="4"/>
        <v>1170000</v>
      </c>
      <c r="W14" s="158"/>
      <c r="X14" s="159"/>
      <c r="Y14" s="149"/>
      <c r="Z14" s="160" t="s">
        <v>221</v>
      </c>
      <c r="AA14" s="161">
        <f>SUM(AA5:AA12)</f>
        <v>65384.61538461539</v>
      </c>
      <c r="AB14" s="161">
        <f t="shared" ref="AB14:AP14" si="5">SUM(AB5:AB12)</f>
        <v>23538.461538461539</v>
      </c>
      <c r="AC14" s="162">
        <f t="shared" si="5"/>
        <v>64076.923076923078</v>
      </c>
      <c r="AD14" s="162">
        <f t="shared" si="5"/>
        <v>0</v>
      </c>
      <c r="AE14" s="162">
        <f t="shared" si="5"/>
        <v>0</v>
      </c>
      <c r="AF14" s="162">
        <f t="shared" si="5"/>
        <v>0</v>
      </c>
      <c r="AG14" s="162">
        <f t="shared" si="5"/>
        <v>0</v>
      </c>
      <c r="AH14" s="162">
        <f t="shared" si="5"/>
        <v>0</v>
      </c>
      <c r="AI14" s="162">
        <f t="shared" si="5"/>
        <v>0</v>
      </c>
      <c r="AJ14" s="162">
        <f t="shared" si="5"/>
        <v>0</v>
      </c>
      <c r="AK14" s="162">
        <f t="shared" si="5"/>
        <v>0</v>
      </c>
      <c r="AL14" s="162">
        <f t="shared" si="5"/>
        <v>0</v>
      </c>
      <c r="AM14" s="162">
        <f t="shared" si="5"/>
        <v>0</v>
      </c>
      <c r="AN14" s="163">
        <f t="shared" si="5"/>
        <v>0</v>
      </c>
      <c r="AO14" s="163">
        <f t="shared" si="5"/>
        <v>64076.923076923078</v>
      </c>
      <c r="AP14" s="164">
        <f t="shared" si="5"/>
        <v>153000</v>
      </c>
    </row>
    <row r="15" spans="1:42" ht="15.75" thickBot="1">
      <c r="A15" s="136"/>
      <c r="B15" s="132"/>
      <c r="C15" s="86"/>
      <c r="D15" s="128"/>
      <c r="E15" s="122"/>
      <c r="F15" s="122"/>
      <c r="G15" s="123"/>
      <c r="H15" s="123"/>
      <c r="I15" s="123"/>
      <c r="J15" s="123"/>
      <c r="K15" s="123"/>
      <c r="L15" s="123"/>
      <c r="M15" s="123"/>
      <c r="N15" s="123"/>
      <c r="O15" s="123"/>
      <c r="P15" s="123"/>
      <c r="Q15" s="123"/>
      <c r="R15" s="123"/>
      <c r="S15" s="124"/>
      <c r="T15" s="124"/>
      <c r="U15" s="125"/>
      <c r="W15" s="136"/>
      <c r="X15" s="132"/>
      <c r="Y15" s="86"/>
      <c r="Z15" s="128"/>
      <c r="AA15" s="122"/>
      <c r="AB15" s="122"/>
      <c r="AC15" s="123"/>
      <c r="AD15" s="123"/>
      <c r="AE15" s="123"/>
      <c r="AF15" s="123"/>
      <c r="AG15" s="123"/>
      <c r="AH15" s="123"/>
      <c r="AI15" s="123"/>
      <c r="AJ15" s="123"/>
      <c r="AK15" s="123"/>
      <c r="AL15" s="123"/>
      <c r="AM15" s="123"/>
      <c r="AN15" s="124"/>
      <c r="AO15" s="124"/>
      <c r="AP15" s="125"/>
    </row>
  </sheetData>
  <mergeCells count="14">
    <mergeCell ref="AP5:AP7"/>
    <mergeCell ref="AC6:AO6"/>
    <mergeCell ref="A5:A7"/>
    <mergeCell ref="B5:B7"/>
    <mergeCell ref="C5:C7"/>
    <mergeCell ref="D5:D7"/>
    <mergeCell ref="E5:T5"/>
    <mergeCell ref="U5:U7"/>
    <mergeCell ref="G6:T6"/>
    <mergeCell ref="W5:W7"/>
    <mergeCell ref="X5:X7"/>
    <mergeCell ref="Y5:Y7"/>
    <mergeCell ref="Z5:Z7"/>
    <mergeCell ref="AA5:AO5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H15"/>
  <sheetViews>
    <sheetView zoomScale="85" zoomScaleNormal="85" workbookViewId="0">
      <pane ySplit="7" topLeftCell="A8" activePane="bottomLeft" state="frozen"/>
      <selection pane="bottomLeft"/>
    </sheetView>
  </sheetViews>
  <sheetFormatPr defaultRowHeight="15"/>
  <cols>
    <col min="1" max="1" width="9.140625" style="133"/>
    <col min="2" max="2" width="12" style="178" bestFit="1" customWidth="1"/>
    <col min="3" max="3" width="6.140625" bestFit="1" customWidth="1"/>
    <col min="4" max="4" width="12.140625" style="2" bestFit="1" customWidth="1"/>
    <col min="5" max="5" width="13.5703125" style="169" bestFit="1" customWidth="1"/>
    <col min="6" max="6" width="14" style="169" bestFit="1" customWidth="1"/>
    <col min="7" max="7" width="9.5703125" style="169" bestFit="1" customWidth="1"/>
    <col min="8" max="8" width="22.7109375" style="109" bestFit="1" customWidth="1"/>
  </cols>
  <sheetData>
    <row r="1" spans="1:8" s="138" customFormat="1" ht="16.5">
      <c r="A1" s="137" t="s">
        <v>269</v>
      </c>
      <c r="D1" s="139"/>
      <c r="E1" s="168"/>
      <c r="F1" s="168"/>
      <c r="G1" s="168"/>
      <c r="H1" s="165"/>
    </row>
    <row r="2" spans="1:8" s="138" customFormat="1" ht="16.5">
      <c r="A2" s="137" t="s">
        <v>50</v>
      </c>
      <c r="D2" s="139"/>
      <c r="E2" s="168"/>
      <c r="F2" s="168"/>
      <c r="G2" s="168"/>
      <c r="H2" s="165"/>
    </row>
    <row r="3" spans="1:8" s="138" customFormat="1" ht="15.75">
      <c r="A3" s="142" t="s">
        <v>140</v>
      </c>
      <c r="D3" s="139"/>
      <c r="E3" s="168"/>
      <c r="F3" s="168"/>
      <c r="G3" s="168"/>
      <c r="H3" s="165"/>
    </row>
    <row r="4" spans="1:8" ht="15.75" thickBot="1">
      <c r="A4" s="143" t="s">
        <v>220</v>
      </c>
    </row>
    <row r="5" spans="1:8" s="96" customFormat="1">
      <c r="A5" s="232" t="s">
        <v>124</v>
      </c>
      <c r="B5" s="229" t="s">
        <v>125</v>
      </c>
      <c r="C5" s="229" t="s">
        <v>16</v>
      </c>
      <c r="D5" s="244" t="s">
        <v>23</v>
      </c>
      <c r="E5" s="247" t="s">
        <v>270</v>
      </c>
      <c r="F5" s="247" t="s">
        <v>271</v>
      </c>
      <c r="G5" s="247" t="s">
        <v>243</v>
      </c>
      <c r="H5" s="235" t="s">
        <v>272</v>
      </c>
    </row>
    <row r="6" spans="1:8" s="96" customFormat="1">
      <c r="A6" s="233"/>
      <c r="B6" s="230"/>
      <c r="C6" s="230"/>
      <c r="D6" s="245"/>
      <c r="E6" s="248"/>
      <c r="F6" s="248"/>
      <c r="G6" s="248"/>
      <c r="H6" s="236"/>
    </row>
    <row r="7" spans="1:8" s="96" customFormat="1">
      <c r="A7" s="234"/>
      <c r="B7" s="231"/>
      <c r="C7" s="231"/>
      <c r="D7" s="246"/>
      <c r="E7" s="249"/>
      <c r="F7" s="249"/>
      <c r="G7" s="249"/>
      <c r="H7" s="237"/>
    </row>
    <row r="8" spans="1:8">
      <c r="A8" s="134">
        <v>1</v>
      </c>
      <c r="B8" s="130">
        <v>1</v>
      </c>
      <c r="C8" s="98" t="s">
        <v>142</v>
      </c>
      <c r="D8" s="126">
        <v>42030</v>
      </c>
      <c r="E8" s="170">
        <f>+SUMIF('SHU Pinjaman'!$B$6:$B$12,$B8,'SHU Pinjaman'!$AL$6:$AL$12)</f>
        <v>0</v>
      </c>
      <c r="F8" s="170">
        <f>+SUMIF('SHU Simpanan'!$B$8:$B$12,$B8,'SHU Simpanan'!$AP$8:$AP$12)</f>
        <v>36615.38461538461</v>
      </c>
      <c r="G8" s="170">
        <f>E8+F8</f>
        <v>36615.38461538461</v>
      </c>
      <c r="H8" s="117">
        <f>FLOOR(G8,5000)</f>
        <v>35000</v>
      </c>
    </row>
    <row r="9" spans="1:8">
      <c r="A9" s="134">
        <v>2</v>
      </c>
      <c r="B9" s="130">
        <v>2</v>
      </c>
      <c r="C9" s="98" t="s">
        <v>148</v>
      </c>
      <c r="D9" s="126">
        <v>42030</v>
      </c>
      <c r="E9" s="170">
        <f>+SUMIF('SHU Pinjaman'!$B$6:$B$12,$B9,'SHU Pinjaman'!$AL$6:$AL$12)</f>
        <v>0</v>
      </c>
      <c r="F9" s="170">
        <f>+SUMIF('SHU Simpanan'!$B$8:$B$12,$B9,'SHU Simpanan'!$AP$8:$AP$12)</f>
        <v>18307.692307692309</v>
      </c>
      <c r="G9" s="170">
        <f t="shared" ref="G9:G12" si="0">E9+F9</f>
        <v>18307.692307692309</v>
      </c>
      <c r="H9" s="117">
        <f t="shared" ref="H9:H12" si="1">FLOOR(G9,5000)</f>
        <v>15000</v>
      </c>
    </row>
    <row r="10" spans="1:8">
      <c r="A10" s="134">
        <v>3</v>
      </c>
      <c r="B10" s="130">
        <v>3</v>
      </c>
      <c r="C10" s="98" t="s">
        <v>195</v>
      </c>
      <c r="D10" s="126">
        <v>42030</v>
      </c>
      <c r="E10" s="170">
        <f>+SUMIF('SHU Pinjaman'!$B$6:$B$12,$B10,'SHU Pinjaman'!$AL$6:$AL$12)</f>
        <v>34000</v>
      </c>
      <c r="F10" s="170">
        <f>+SUMIF('SHU Simpanan'!$B$8:$B$12,$B10,'SHU Simpanan'!$AP$8:$AP$12)</f>
        <v>28769.23076923077</v>
      </c>
      <c r="G10" s="170">
        <f t="shared" si="0"/>
        <v>62769.230769230766</v>
      </c>
      <c r="H10" s="117">
        <f t="shared" si="1"/>
        <v>60000</v>
      </c>
    </row>
    <row r="11" spans="1:8">
      <c r="A11" s="134">
        <v>4</v>
      </c>
      <c r="B11" s="130">
        <v>4</v>
      </c>
      <c r="C11" s="98" t="s">
        <v>224</v>
      </c>
      <c r="D11" s="126">
        <v>42036</v>
      </c>
      <c r="E11" s="170">
        <f>+SUMIF('SHU Pinjaman'!$B$6:$B$12,$B11,'SHU Pinjaman'!$AL$6:$AL$12)</f>
        <v>0</v>
      </c>
      <c r="F11" s="170">
        <f>+SUMIF('SHU Simpanan'!$B$8:$B$12,$B11,'SHU Simpanan'!$AP$8:$AP$12)</f>
        <v>23538.461538461539</v>
      </c>
      <c r="G11" s="170">
        <f t="shared" si="0"/>
        <v>23538.461538461539</v>
      </c>
      <c r="H11" s="117">
        <f t="shared" si="1"/>
        <v>20000</v>
      </c>
    </row>
    <row r="12" spans="1:8">
      <c r="A12" s="134">
        <v>5</v>
      </c>
      <c r="B12" s="130">
        <v>5</v>
      </c>
      <c r="C12" s="98" t="s">
        <v>229</v>
      </c>
      <c r="D12" s="126">
        <v>42036</v>
      </c>
      <c r="E12" s="170">
        <f>+SUMIF('SHU Pinjaman'!$B$6:$B$12,$B12,'SHU Pinjaman'!$AL$6:$AL$12)</f>
        <v>68000</v>
      </c>
      <c r="F12" s="170">
        <f>+SUMIF('SHU Simpanan'!$B$8:$B$12,$B12,'SHU Simpanan'!$AP$8:$AP$12)</f>
        <v>45769.230769230766</v>
      </c>
      <c r="G12" s="170">
        <f t="shared" si="0"/>
        <v>113769.23076923077</v>
      </c>
      <c r="H12" s="117">
        <f t="shared" si="1"/>
        <v>110000</v>
      </c>
    </row>
    <row r="13" spans="1:8">
      <c r="A13" s="134"/>
      <c r="B13" s="130"/>
      <c r="C13" s="98"/>
      <c r="D13" s="126"/>
      <c r="E13" s="170"/>
      <c r="F13" s="170"/>
      <c r="G13" s="170"/>
      <c r="H13" s="117"/>
    </row>
    <row r="14" spans="1:8" s="81" customFormat="1">
      <c r="A14" s="158"/>
      <c r="B14" s="159"/>
      <c r="C14" s="149"/>
      <c r="D14" s="160" t="s">
        <v>221</v>
      </c>
      <c r="E14" s="171">
        <f t="shared" ref="E14:G14" si="2">SUM(E5:E12)</f>
        <v>102000</v>
      </c>
      <c r="F14" s="171">
        <f t="shared" si="2"/>
        <v>153000</v>
      </c>
      <c r="G14" s="171">
        <f t="shared" si="2"/>
        <v>255000</v>
      </c>
      <c r="H14" s="164">
        <f t="shared" ref="H14" si="3">SUM(H5:H12)</f>
        <v>240000</v>
      </c>
    </row>
    <row r="15" spans="1:8" ht="15.75" thickBot="1">
      <c r="A15" s="136"/>
      <c r="B15" s="132"/>
      <c r="C15" s="86"/>
      <c r="D15" s="128"/>
      <c r="E15" s="172"/>
      <c r="F15" s="172"/>
      <c r="G15" s="172"/>
      <c r="H15" s="125"/>
    </row>
  </sheetData>
  <mergeCells count="8">
    <mergeCell ref="A5:A7"/>
    <mergeCell ref="B5:B7"/>
    <mergeCell ref="C5:C7"/>
    <mergeCell ref="D5:D7"/>
    <mergeCell ref="H5:H7"/>
    <mergeCell ref="E5:E7"/>
    <mergeCell ref="F5:F7"/>
    <mergeCell ref="G5:G7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G29"/>
  <sheetViews>
    <sheetView zoomScale="85" zoomScaleNormal="85" workbookViewId="0">
      <selection activeCell="G17" sqref="G17"/>
    </sheetView>
  </sheetViews>
  <sheetFormatPr defaultRowHeight="15"/>
  <cols>
    <col min="1" max="1" width="6.28515625" customWidth="1"/>
    <col min="2" max="2" width="22.85546875" customWidth="1"/>
    <col min="3" max="3" width="30.7109375" customWidth="1"/>
    <col min="5" max="5" width="13.140625" customWidth="1"/>
    <col min="6" max="6" width="32.42578125" bestFit="1" customWidth="1"/>
    <col min="7" max="7" width="37.28515625" bestFit="1" customWidth="1"/>
  </cols>
  <sheetData>
    <row r="1" spans="1:7" ht="24.75">
      <c r="A1" s="250" t="s">
        <v>287</v>
      </c>
      <c r="B1" s="250"/>
      <c r="C1" s="250"/>
      <c r="D1" s="250"/>
      <c r="E1" s="250"/>
      <c r="F1" s="250"/>
      <c r="G1" s="250"/>
    </row>
    <row r="2" spans="1:7" ht="18">
      <c r="A2" s="251" t="s">
        <v>288</v>
      </c>
      <c r="B2" s="251"/>
      <c r="C2" s="251"/>
      <c r="D2" s="251"/>
      <c r="E2" s="251"/>
      <c r="F2" s="251"/>
      <c r="G2" s="251"/>
    </row>
    <row r="3" spans="1:7" ht="30">
      <c r="A3" s="252" t="s">
        <v>164</v>
      </c>
      <c r="B3" s="252"/>
      <c r="C3" s="252"/>
      <c r="D3" s="252"/>
      <c r="E3" s="252"/>
      <c r="F3" s="252"/>
      <c r="G3" s="252"/>
    </row>
    <row r="4" spans="1:7" ht="21">
      <c r="A4" s="253"/>
      <c r="B4" s="253"/>
      <c r="C4" s="253"/>
      <c r="D4" s="253"/>
      <c r="E4" s="253"/>
      <c r="F4" s="253"/>
      <c r="G4" s="253"/>
    </row>
    <row r="5" spans="1:7" ht="21.75" thickBot="1">
      <c r="A5" s="179"/>
      <c r="B5" s="179"/>
      <c r="C5" s="179"/>
      <c r="D5" s="179"/>
      <c r="E5" s="179"/>
      <c r="F5" s="179"/>
      <c r="G5" s="179"/>
    </row>
    <row r="6" spans="1:7" ht="18.75">
      <c r="A6" s="254" t="s">
        <v>289</v>
      </c>
      <c r="B6" s="256" t="s">
        <v>290</v>
      </c>
      <c r="C6" s="257"/>
      <c r="D6" s="258" t="s">
        <v>289</v>
      </c>
      <c r="E6" s="256" t="s">
        <v>291</v>
      </c>
      <c r="F6" s="256"/>
      <c r="G6" s="257"/>
    </row>
    <row r="7" spans="1:7" ht="19.5" thickBot="1">
      <c r="A7" s="255"/>
      <c r="B7" s="191" t="s">
        <v>292</v>
      </c>
      <c r="C7" s="192" t="s">
        <v>293</v>
      </c>
      <c r="D7" s="259"/>
      <c r="E7" s="260" t="s">
        <v>292</v>
      </c>
      <c r="F7" s="259"/>
      <c r="G7" s="193" t="s">
        <v>293</v>
      </c>
    </row>
    <row r="8" spans="1:7" ht="18.75">
      <c r="A8" s="265">
        <v>1</v>
      </c>
      <c r="B8" s="267" t="s">
        <v>294</v>
      </c>
      <c r="C8" s="269"/>
      <c r="D8" s="194">
        <v>1</v>
      </c>
      <c r="E8" s="195" t="s">
        <v>29</v>
      </c>
      <c r="F8" s="196"/>
      <c r="G8" s="197"/>
    </row>
    <row r="9" spans="1:7" ht="18.75">
      <c r="A9" s="265"/>
      <c r="B9" s="268"/>
      <c r="C9" s="269"/>
      <c r="D9" s="271">
        <v>2</v>
      </c>
      <c r="E9" s="198" t="s">
        <v>10</v>
      </c>
      <c r="F9" s="199"/>
      <c r="G9" s="200">
        <f>+SUM(F10:F12)</f>
        <v>0</v>
      </c>
    </row>
    <row r="10" spans="1:7" ht="18.75">
      <c r="A10" s="265"/>
      <c r="B10" s="268"/>
      <c r="C10" s="269"/>
      <c r="D10" s="272"/>
      <c r="E10" s="201" t="s">
        <v>295</v>
      </c>
      <c r="F10" s="202"/>
      <c r="G10" s="203"/>
    </row>
    <row r="11" spans="1:7" ht="18.75">
      <c r="A11" s="265"/>
      <c r="B11" s="268"/>
      <c r="C11" s="269"/>
      <c r="D11" s="272"/>
      <c r="E11" s="201" t="s">
        <v>296</v>
      </c>
      <c r="F11" s="202"/>
      <c r="G11" s="203"/>
    </row>
    <row r="12" spans="1:7" ht="18.75">
      <c r="A12" s="265"/>
      <c r="B12" s="268"/>
      <c r="C12" s="269"/>
      <c r="D12" s="273"/>
      <c r="E12" s="195" t="s">
        <v>297</v>
      </c>
      <c r="F12" s="204"/>
      <c r="G12" s="197"/>
    </row>
    <row r="13" spans="1:7" ht="18.75">
      <c r="A13" s="266"/>
      <c r="B13" s="268"/>
      <c r="C13" s="270"/>
      <c r="D13" s="205">
        <v>3</v>
      </c>
      <c r="E13" s="206" t="s">
        <v>298</v>
      </c>
      <c r="F13" s="207"/>
      <c r="G13" s="208"/>
    </row>
    <row r="14" spans="1:7" ht="18.75">
      <c r="A14" s="274">
        <v>2</v>
      </c>
      <c r="B14" s="275" t="s">
        <v>299</v>
      </c>
      <c r="C14" s="277"/>
      <c r="D14" s="205">
        <v>4</v>
      </c>
      <c r="E14" s="206" t="s">
        <v>300</v>
      </c>
      <c r="F14" s="207"/>
      <c r="G14" s="208"/>
    </row>
    <row r="15" spans="1:7" ht="18.75">
      <c r="A15" s="265"/>
      <c r="B15" s="276"/>
      <c r="C15" s="269"/>
      <c r="D15" s="209">
        <v>5</v>
      </c>
      <c r="E15" s="206" t="s">
        <v>301</v>
      </c>
      <c r="F15" s="207"/>
      <c r="G15" s="208"/>
    </row>
    <row r="16" spans="1:7" ht="19.5" thickBot="1">
      <c r="A16" s="265"/>
      <c r="B16" s="276"/>
      <c r="C16" s="269"/>
      <c r="D16" s="210">
        <v>6</v>
      </c>
      <c r="E16" s="198" t="s">
        <v>302</v>
      </c>
      <c r="F16" s="199"/>
      <c r="G16" s="200"/>
    </row>
    <row r="17" spans="1:7" ht="19.5" thickBot="1">
      <c r="A17" s="261" t="s">
        <v>33</v>
      </c>
      <c r="B17" s="262"/>
      <c r="C17" s="211">
        <f>SUM(C8:C16)</f>
        <v>0</v>
      </c>
      <c r="D17" s="263" t="s">
        <v>33</v>
      </c>
      <c r="E17" s="263"/>
      <c r="F17" s="264"/>
      <c r="G17" s="212">
        <f>+G8+G9+G13+G14-G15+G16</f>
        <v>0</v>
      </c>
    </row>
    <row r="18" spans="1:7" ht="18.75">
      <c r="A18" s="180"/>
      <c r="B18" s="180"/>
      <c r="C18" s="181"/>
      <c r="D18" s="180"/>
      <c r="E18" s="180"/>
      <c r="F18" s="180"/>
      <c r="G18" s="181"/>
    </row>
    <row r="19" spans="1:7" ht="18.75">
      <c r="A19" s="182"/>
      <c r="B19" s="182"/>
      <c r="C19" s="183"/>
      <c r="D19" s="183"/>
      <c r="E19" s="183"/>
      <c r="F19" s="184"/>
      <c r="G19" s="185" t="s">
        <v>303</v>
      </c>
    </row>
    <row r="20" spans="1:7" ht="21">
      <c r="A20" s="182"/>
      <c r="B20" s="182"/>
      <c r="C20" s="186" t="s">
        <v>304</v>
      </c>
      <c r="D20" s="183"/>
      <c r="E20" s="184"/>
      <c r="F20" s="187" t="s">
        <v>305</v>
      </c>
      <c r="G20" s="179"/>
    </row>
    <row r="21" spans="1:7" ht="18.75">
      <c r="A21" s="182"/>
      <c r="B21" s="182"/>
      <c r="C21" s="183"/>
      <c r="D21" s="183"/>
      <c r="E21" s="184"/>
      <c r="F21" s="184"/>
      <c r="G21" s="188"/>
    </row>
    <row r="22" spans="1:7" ht="18.75">
      <c r="A22" s="182"/>
      <c r="B22" s="182"/>
      <c r="C22" s="183"/>
      <c r="D22" s="183"/>
      <c r="E22" s="184"/>
      <c r="F22" s="184"/>
      <c r="G22" s="183"/>
    </row>
    <row r="23" spans="1:7" ht="18.75">
      <c r="A23" s="182"/>
      <c r="B23" s="182"/>
      <c r="C23" s="184"/>
      <c r="D23" s="184"/>
      <c r="E23" s="184"/>
      <c r="F23" s="184"/>
      <c r="G23" s="184"/>
    </row>
    <row r="24" spans="1:7" ht="21">
      <c r="A24" s="182"/>
      <c r="B24" s="182"/>
      <c r="C24" s="189" t="s">
        <v>306</v>
      </c>
      <c r="D24" s="183"/>
      <c r="E24" s="184"/>
      <c r="F24" s="190" t="s">
        <v>307</v>
      </c>
      <c r="G24" s="179"/>
    </row>
    <row r="25" spans="1:7" ht="18.75">
      <c r="A25" s="182"/>
      <c r="B25" s="182"/>
      <c r="C25" s="183"/>
      <c r="D25" s="184"/>
      <c r="E25" s="186" t="s">
        <v>308</v>
      </c>
      <c r="F25" s="189"/>
      <c r="G25" s="183"/>
    </row>
    <row r="26" spans="1:7" ht="18.75">
      <c r="A26" s="182"/>
      <c r="B26" s="182"/>
      <c r="C26" s="183"/>
      <c r="D26" s="184"/>
      <c r="E26" s="183"/>
      <c r="F26" s="183"/>
      <c r="G26" s="183"/>
    </row>
    <row r="27" spans="1:7" ht="18.75">
      <c r="A27" s="182"/>
      <c r="B27" s="182"/>
      <c r="C27" s="183"/>
      <c r="D27" s="184"/>
      <c r="E27" s="183"/>
      <c r="F27" s="183"/>
      <c r="G27" s="183"/>
    </row>
    <row r="28" spans="1:7" ht="18.75">
      <c r="A28" s="182"/>
      <c r="B28" s="182"/>
      <c r="C28" s="183"/>
      <c r="D28" s="184"/>
      <c r="E28" s="183"/>
      <c r="F28" s="183"/>
      <c r="G28" s="183"/>
    </row>
    <row r="29" spans="1:7" ht="18.75">
      <c r="A29" s="182"/>
      <c r="B29" s="182"/>
      <c r="C29" s="183"/>
      <c r="D29" s="184"/>
      <c r="E29" s="183" t="s">
        <v>309</v>
      </c>
      <c r="F29" s="183"/>
      <c r="G29" s="183"/>
    </row>
  </sheetData>
  <mergeCells count="18">
    <mergeCell ref="A17:B17"/>
    <mergeCell ref="D17:F17"/>
    <mergeCell ref="A8:A13"/>
    <mergeCell ref="B8:B13"/>
    <mergeCell ref="C8:C13"/>
    <mergeCell ref="D9:D12"/>
    <mergeCell ref="A14:A16"/>
    <mergeCell ref="B14:B16"/>
    <mergeCell ref="C14:C16"/>
    <mergeCell ref="A1:G1"/>
    <mergeCell ref="A2:G2"/>
    <mergeCell ref="A3:G3"/>
    <mergeCell ref="A4:G4"/>
    <mergeCell ref="A6:A7"/>
    <mergeCell ref="B6:C6"/>
    <mergeCell ref="D6:D7"/>
    <mergeCell ref="E6:G6"/>
    <mergeCell ref="E7:F7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33"/>
  <sheetViews>
    <sheetView view="pageBreakPreview" zoomScaleNormal="85" zoomScaleSheetLayoutView="100" workbookViewId="0">
      <selection activeCell="L15" sqref="L15"/>
    </sheetView>
  </sheetViews>
  <sheetFormatPr defaultRowHeight="15"/>
  <cols>
    <col min="1" max="1" width="8.28515625" customWidth="1"/>
    <col min="2" max="2" width="4.28515625" customWidth="1"/>
    <col min="3" max="3" width="15.85546875" customWidth="1"/>
    <col min="4" max="4" width="9.28515625" customWidth="1"/>
    <col min="5" max="5" width="16.28515625" customWidth="1"/>
    <col min="6" max="6" width="1.7109375" customWidth="1"/>
    <col min="8" max="8" width="10.140625" customWidth="1"/>
    <col min="10" max="10" width="5.140625" customWidth="1"/>
    <col min="11" max="11" width="11.85546875" customWidth="1"/>
  </cols>
  <sheetData>
    <row r="1" spans="1:11" ht="15.75" thickBot="1">
      <c r="A1" s="145"/>
      <c r="B1" s="145"/>
      <c r="C1" s="145"/>
      <c r="D1" s="145"/>
      <c r="E1" s="145"/>
      <c r="F1" s="145"/>
      <c r="G1" s="145"/>
      <c r="H1" s="145"/>
      <c r="I1" s="145"/>
      <c r="J1" s="145"/>
      <c r="K1" s="145"/>
    </row>
    <row r="2" spans="1:11" ht="24.75" customHeight="1">
      <c r="A2" s="278" t="s">
        <v>163</v>
      </c>
      <c r="B2" s="278"/>
      <c r="C2" s="278"/>
      <c r="D2" s="278"/>
      <c r="E2" s="278"/>
      <c r="F2" s="278"/>
      <c r="G2" s="278"/>
      <c r="H2" s="278"/>
      <c r="I2" s="278"/>
      <c r="J2" s="278"/>
      <c r="K2" s="278"/>
    </row>
    <row r="3" spans="1:11" ht="21">
      <c r="A3" s="279" t="s">
        <v>164</v>
      </c>
      <c r="B3" s="279"/>
      <c r="C3" s="279"/>
      <c r="D3" s="279"/>
      <c r="E3" s="279"/>
      <c r="F3" s="279"/>
      <c r="G3" s="279"/>
      <c r="H3" s="279"/>
      <c r="I3" s="279"/>
      <c r="J3" s="279"/>
      <c r="K3" s="279"/>
    </row>
    <row r="4" spans="1:11">
      <c r="A4" s="280" t="s">
        <v>165</v>
      </c>
      <c r="B4" s="280"/>
      <c r="C4" s="280"/>
      <c r="D4" s="280"/>
      <c r="E4" s="280"/>
      <c r="F4" s="280"/>
      <c r="G4" s="280"/>
      <c r="H4" s="280"/>
      <c r="I4" s="280"/>
      <c r="J4" s="280"/>
      <c r="K4" s="280"/>
    </row>
    <row r="5" spans="1:11" ht="9" customHeight="1" thickBot="1">
      <c r="A5" s="145"/>
      <c r="B5" s="145"/>
      <c r="C5" s="145"/>
      <c r="D5" s="145"/>
      <c r="E5" s="145"/>
      <c r="F5" s="145"/>
      <c r="G5" s="145"/>
      <c r="H5" s="145"/>
      <c r="I5" s="145"/>
      <c r="J5" s="145"/>
      <c r="K5" s="145"/>
    </row>
    <row r="7" spans="1:11">
      <c r="A7" s="281" t="s">
        <v>166</v>
      </c>
      <c r="B7" s="281"/>
      <c r="C7" s="281"/>
      <c r="D7" s="281"/>
      <c r="E7" s="281"/>
      <c r="F7" s="281"/>
      <c r="G7" s="281"/>
      <c r="H7" s="281"/>
      <c r="I7" s="281"/>
      <c r="J7" s="281"/>
      <c r="K7" s="281"/>
    </row>
    <row r="9" spans="1:11">
      <c r="A9" t="s">
        <v>167</v>
      </c>
    </row>
    <row r="11" spans="1:11">
      <c r="A11" t="s">
        <v>16</v>
      </c>
      <c r="B11" t="s">
        <v>168</v>
      </c>
      <c r="C11" t="s">
        <v>229</v>
      </c>
      <c r="E11" t="s">
        <v>169</v>
      </c>
      <c r="F11" t="s">
        <v>168</v>
      </c>
      <c r="G11" s="150" t="s">
        <v>277</v>
      </c>
    </row>
    <row r="12" spans="1:11">
      <c r="A12" t="s">
        <v>18</v>
      </c>
      <c r="B12" t="s">
        <v>168</v>
      </c>
      <c r="C12" t="s">
        <v>230</v>
      </c>
    </row>
    <row r="14" spans="1:11">
      <c r="A14" t="s">
        <v>170</v>
      </c>
    </row>
    <row r="16" spans="1:11">
      <c r="A16" s="144" t="s">
        <v>171</v>
      </c>
      <c r="B16" t="s">
        <v>276</v>
      </c>
      <c r="D16" t="s">
        <v>32</v>
      </c>
      <c r="E16" t="s">
        <v>278</v>
      </c>
      <c r="G16" t="s">
        <v>252</v>
      </c>
    </row>
    <row r="17" spans="1:9">
      <c r="A17" s="144"/>
      <c r="B17" t="s">
        <v>247</v>
      </c>
      <c r="C17" s="43">
        <v>5000000</v>
      </c>
      <c r="D17" t="s">
        <v>279</v>
      </c>
    </row>
    <row r="18" spans="1:9">
      <c r="A18" s="144" t="s">
        <v>172</v>
      </c>
      <c r="B18" t="s">
        <v>255</v>
      </c>
    </row>
    <row r="19" spans="1:9">
      <c r="B19" t="s">
        <v>248</v>
      </c>
    </row>
    <row r="20" spans="1:9">
      <c r="A20" s="144" t="s">
        <v>173</v>
      </c>
      <c r="B20" t="s">
        <v>257</v>
      </c>
    </row>
    <row r="21" spans="1:9">
      <c r="A21" s="144"/>
      <c r="B21" t="s">
        <v>249</v>
      </c>
    </row>
    <row r="22" spans="1:9">
      <c r="A22" s="144" t="s">
        <v>174</v>
      </c>
      <c r="B22" t="s">
        <v>253</v>
      </c>
    </row>
    <row r="23" spans="1:9">
      <c r="A23" s="144"/>
      <c r="B23" t="s">
        <v>250</v>
      </c>
    </row>
    <row r="24" spans="1:9">
      <c r="A24" s="144" t="s">
        <v>175</v>
      </c>
      <c r="B24" t="s">
        <v>256</v>
      </c>
    </row>
    <row r="25" spans="1:9">
      <c r="B25" t="s">
        <v>254</v>
      </c>
    </row>
    <row r="26" spans="1:9" ht="13.5" customHeight="1">
      <c r="B26" t="s">
        <v>251</v>
      </c>
    </row>
    <row r="27" spans="1:9" ht="47.25" customHeight="1">
      <c r="I27" t="s">
        <v>180</v>
      </c>
    </row>
    <row r="28" spans="1:9">
      <c r="B28" t="s">
        <v>176</v>
      </c>
      <c r="I28" t="s">
        <v>178</v>
      </c>
    </row>
    <row r="29" spans="1:9">
      <c r="B29" t="s">
        <v>177</v>
      </c>
      <c r="I29" t="s">
        <v>179</v>
      </c>
    </row>
    <row r="33" spans="2:9" ht="32.25" customHeight="1">
      <c r="B33" t="s">
        <v>280</v>
      </c>
      <c r="I33" t="s">
        <v>229</v>
      </c>
    </row>
  </sheetData>
  <mergeCells count="4">
    <mergeCell ref="A2:K2"/>
    <mergeCell ref="A3:K3"/>
    <mergeCell ref="A4:K4"/>
    <mergeCell ref="A7:K7"/>
  </mergeCells>
  <pageMargins left="0.31496062992125984" right="0.31496062992125984" top="0.74803149606299213" bottom="0.74803149606299213" header="0.27559055118110237" footer="0.31496062992125984"/>
  <pageSetup paperSize="9" scale="94" orientation="portrait" horizontalDpi="200" verticalDpi="2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E18"/>
  <sheetViews>
    <sheetView zoomScale="85" zoomScaleNormal="85" workbookViewId="0">
      <selection activeCell="D12" sqref="D12"/>
    </sheetView>
  </sheetViews>
  <sheetFormatPr defaultRowHeight="15"/>
  <cols>
    <col min="4" max="5" width="9.140625" style="43"/>
  </cols>
  <sheetData>
    <row r="1" spans="1:5" s="82" customFormat="1" ht="16.5">
      <c r="A1" s="82" t="s">
        <v>259</v>
      </c>
      <c r="D1" s="166"/>
      <c r="E1" s="166"/>
    </row>
    <row r="2" spans="1:5" s="82" customFormat="1" ht="16.5">
      <c r="A2" s="82" t="s">
        <v>50</v>
      </c>
      <c r="D2" s="166"/>
      <c r="E2" s="166"/>
    </row>
    <row r="3" spans="1:5" s="80" customFormat="1" ht="15.75">
      <c r="A3" s="80" t="s">
        <v>140</v>
      </c>
      <c r="D3" s="167"/>
      <c r="E3" s="167"/>
    </row>
    <row r="4" spans="1:5">
      <c r="A4" t="s">
        <v>286</v>
      </c>
    </row>
    <row r="6" spans="1:5">
      <c r="A6" t="s">
        <v>159</v>
      </c>
      <c r="E6" s="43">
        <v>1170000</v>
      </c>
    </row>
    <row r="7" spans="1:5">
      <c r="B7" t="s">
        <v>10</v>
      </c>
      <c r="D7" s="43">
        <v>500000</v>
      </c>
    </row>
    <row r="8" spans="1:5">
      <c r="B8" t="s">
        <v>29</v>
      </c>
      <c r="D8" s="43">
        <v>180000</v>
      </c>
    </row>
    <row r="9" spans="1:5">
      <c r="B9" t="s">
        <v>260</v>
      </c>
      <c r="D9" s="43">
        <v>490000</v>
      </c>
    </row>
    <row r="11" spans="1:5">
      <c r="A11" t="s">
        <v>262</v>
      </c>
      <c r="E11" s="43">
        <v>300000</v>
      </c>
    </row>
    <row r="12" spans="1:5">
      <c r="B12" t="s">
        <v>183</v>
      </c>
      <c r="D12" s="43">
        <v>20000</v>
      </c>
    </row>
    <row r="13" spans="1:5">
      <c r="A13" t="s">
        <v>261</v>
      </c>
      <c r="E13" s="43">
        <f>SUM(D12:D12)</f>
        <v>20000</v>
      </c>
    </row>
    <row r="15" spans="1:5">
      <c r="A15" t="s">
        <v>263</v>
      </c>
      <c r="E15" s="43">
        <f>E11-E13</f>
        <v>280000</v>
      </c>
    </row>
    <row r="16" spans="1:5">
      <c r="A16" t="s">
        <v>264</v>
      </c>
      <c r="E16" s="43">
        <v>25000</v>
      </c>
    </row>
    <row r="17" spans="1:5">
      <c r="A17" t="s">
        <v>265</v>
      </c>
      <c r="E17" s="43">
        <f>(E15-E16)*0.6</f>
        <v>153000</v>
      </c>
    </row>
    <row r="18" spans="1:5">
      <c r="A18" t="s">
        <v>266</v>
      </c>
      <c r="E18" s="43">
        <f>(E15-E16)*0.4</f>
        <v>102000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G29"/>
  <sheetViews>
    <sheetView zoomScale="85" zoomScaleNormal="85" workbookViewId="0">
      <selection activeCell="G17" sqref="G17"/>
    </sheetView>
  </sheetViews>
  <sheetFormatPr defaultRowHeight="15"/>
  <cols>
    <col min="1" max="1" width="6.28515625" customWidth="1"/>
    <col min="2" max="2" width="22.85546875" customWidth="1"/>
    <col min="3" max="3" width="30.7109375" customWidth="1"/>
    <col min="5" max="5" width="13.140625" customWidth="1"/>
    <col min="6" max="6" width="32.42578125" bestFit="1" customWidth="1"/>
    <col min="7" max="7" width="37.28515625" bestFit="1" customWidth="1"/>
  </cols>
  <sheetData>
    <row r="1" spans="1:7" ht="24.75">
      <c r="A1" s="250" t="s">
        <v>287</v>
      </c>
      <c r="B1" s="250"/>
      <c r="C1" s="250"/>
      <c r="D1" s="250"/>
      <c r="E1" s="250"/>
      <c r="F1" s="250"/>
      <c r="G1" s="250"/>
    </row>
    <row r="2" spans="1:7" ht="18">
      <c r="A2" s="251" t="s">
        <v>288</v>
      </c>
      <c r="B2" s="251"/>
      <c r="C2" s="251"/>
      <c r="D2" s="251"/>
      <c r="E2" s="251"/>
      <c r="F2" s="251"/>
      <c r="G2" s="251"/>
    </row>
    <row r="3" spans="1:7" ht="30">
      <c r="A3" s="252" t="s">
        <v>164</v>
      </c>
      <c r="B3" s="252"/>
      <c r="C3" s="252"/>
      <c r="D3" s="252"/>
      <c r="E3" s="252"/>
      <c r="F3" s="252"/>
      <c r="G3" s="252"/>
    </row>
    <row r="4" spans="1:7" ht="21">
      <c r="A4" s="253"/>
      <c r="B4" s="253"/>
      <c r="C4" s="253"/>
      <c r="D4" s="253"/>
      <c r="E4" s="253"/>
      <c r="F4" s="253"/>
      <c r="G4" s="253"/>
    </row>
    <row r="5" spans="1:7" ht="21.75" thickBot="1">
      <c r="A5" s="179"/>
      <c r="B5" s="179"/>
      <c r="C5" s="179"/>
      <c r="D5" s="179"/>
      <c r="E5" s="179"/>
      <c r="F5" s="179"/>
      <c r="G5" s="179"/>
    </row>
    <row r="6" spans="1:7" ht="18.75">
      <c r="A6" s="254" t="s">
        <v>289</v>
      </c>
      <c r="B6" s="256" t="s">
        <v>290</v>
      </c>
      <c r="C6" s="257"/>
      <c r="D6" s="258" t="s">
        <v>289</v>
      </c>
      <c r="E6" s="256" t="s">
        <v>291</v>
      </c>
      <c r="F6" s="256"/>
      <c r="G6" s="257"/>
    </row>
    <row r="7" spans="1:7" ht="19.5" thickBot="1">
      <c r="A7" s="255"/>
      <c r="B7" s="191" t="s">
        <v>292</v>
      </c>
      <c r="C7" s="192" t="s">
        <v>293</v>
      </c>
      <c r="D7" s="259"/>
      <c r="E7" s="260" t="s">
        <v>292</v>
      </c>
      <c r="F7" s="259"/>
      <c r="G7" s="193" t="s">
        <v>293</v>
      </c>
    </row>
    <row r="8" spans="1:7" ht="18.75">
      <c r="A8" s="265">
        <v>1</v>
      </c>
      <c r="B8" s="267" t="s">
        <v>294</v>
      </c>
      <c r="C8" s="269"/>
      <c r="D8" s="194">
        <v>1</v>
      </c>
      <c r="E8" s="195" t="s">
        <v>29</v>
      </c>
      <c r="F8" s="196"/>
      <c r="G8" s="197">
        <f>'SHU Total'!D7</f>
        <v>500000</v>
      </c>
    </row>
    <row r="9" spans="1:7" ht="18.75">
      <c r="A9" s="265"/>
      <c r="B9" s="268"/>
      <c r="C9" s="269"/>
      <c r="D9" s="271">
        <v>2</v>
      </c>
      <c r="E9" s="198" t="s">
        <v>10</v>
      </c>
      <c r="F9" s="199"/>
      <c r="G9" s="200">
        <f>+SUM(F10:F12)</f>
        <v>180000</v>
      </c>
    </row>
    <row r="10" spans="1:7" ht="18.75">
      <c r="A10" s="265"/>
      <c r="B10" s="268"/>
      <c r="C10" s="269"/>
      <c r="D10" s="272"/>
      <c r="E10" s="201" t="s">
        <v>295</v>
      </c>
      <c r="F10" s="202">
        <f>'SHU Total'!D8</f>
        <v>180000</v>
      </c>
      <c r="G10" s="203"/>
    </row>
    <row r="11" spans="1:7" ht="18.75">
      <c r="A11" s="265"/>
      <c r="B11" s="268"/>
      <c r="C11" s="269"/>
      <c r="D11" s="272"/>
      <c r="E11" s="201" t="s">
        <v>296</v>
      </c>
      <c r="F11" s="202"/>
      <c r="G11" s="203"/>
    </row>
    <row r="12" spans="1:7" ht="18.75">
      <c r="A12" s="265"/>
      <c r="B12" s="268"/>
      <c r="C12" s="269"/>
      <c r="D12" s="273"/>
      <c r="E12" s="195" t="s">
        <v>297</v>
      </c>
      <c r="F12" s="204"/>
      <c r="G12" s="197"/>
    </row>
    <row r="13" spans="1:7" ht="18.75">
      <c r="A13" s="266"/>
      <c r="B13" s="268"/>
      <c r="C13" s="270"/>
      <c r="D13" s="205">
        <v>3</v>
      </c>
      <c r="E13" s="206" t="s">
        <v>298</v>
      </c>
      <c r="F13" s="207"/>
      <c r="G13" s="208">
        <f>'SHU Total'!E11</f>
        <v>300000</v>
      </c>
    </row>
    <row r="14" spans="1:7" ht="18.75">
      <c r="A14" s="274">
        <v>2</v>
      </c>
      <c r="B14" s="275" t="s">
        <v>299</v>
      </c>
      <c r="C14" s="277"/>
      <c r="D14" s="205">
        <v>4</v>
      </c>
      <c r="E14" s="206" t="s">
        <v>310</v>
      </c>
      <c r="F14" s="207"/>
      <c r="G14" s="208">
        <f>'SHU Total'!D9</f>
        <v>490000</v>
      </c>
    </row>
    <row r="15" spans="1:7" ht="18.75">
      <c r="A15" s="265"/>
      <c r="B15" s="276"/>
      <c r="C15" s="269"/>
      <c r="D15" s="209">
        <v>5</v>
      </c>
      <c r="E15" s="206" t="s">
        <v>311</v>
      </c>
      <c r="F15" s="207"/>
      <c r="G15" s="208">
        <f>'SHU Total'!E13</f>
        <v>20000</v>
      </c>
    </row>
    <row r="16" spans="1:7" ht="19.5" thickBot="1">
      <c r="A16" s="265"/>
      <c r="B16" s="276"/>
      <c r="C16" s="269"/>
      <c r="D16" s="210">
        <v>6</v>
      </c>
      <c r="E16" s="198" t="s">
        <v>302</v>
      </c>
      <c r="F16" s="199"/>
      <c r="G16" s="200"/>
    </row>
    <row r="17" spans="1:7" ht="19.5" thickBot="1">
      <c r="A17" s="261" t="s">
        <v>33</v>
      </c>
      <c r="B17" s="262"/>
      <c r="C17" s="211">
        <f>SUM(C8:C16)</f>
        <v>0</v>
      </c>
      <c r="D17" s="263" t="s">
        <v>33</v>
      </c>
      <c r="E17" s="263"/>
      <c r="F17" s="264"/>
      <c r="G17" s="212">
        <f>+G8+G9+G13+G14+G15</f>
        <v>1490000</v>
      </c>
    </row>
    <row r="18" spans="1:7" ht="18.75">
      <c r="A18" s="180"/>
      <c r="B18" s="180"/>
      <c r="C18" s="181"/>
      <c r="D18" s="180"/>
      <c r="E18" s="180"/>
      <c r="F18" s="180"/>
      <c r="G18" s="181"/>
    </row>
    <row r="19" spans="1:7" ht="18.75">
      <c r="A19" s="182"/>
      <c r="B19" s="182"/>
      <c r="C19" s="183"/>
      <c r="D19" s="183"/>
      <c r="E19" s="183"/>
      <c r="F19" s="184"/>
      <c r="G19" s="185" t="s">
        <v>312</v>
      </c>
    </row>
    <row r="20" spans="1:7" ht="21">
      <c r="A20" s="182"/>
      <c r="B20" s="182"/>
      <c r="C20" s="186" t="s">
        <v>304</v>
      </c>
      <c r="D20" s="183"/>
      <c r="E20" s="184"/>
      <c r="F20" s="187" t="s">
        <v>305</v>
      </c>
      <c r="G20" s="179"/>
    </row>
    <row r="21" spans="1:7" ht="18.75">
      <c r="A21" s="182"/>
      <c r="B21" s="182"/>
      <c r="C21" s="183"/>
      <c r="D21" s="183"/>
      <c r="E21" s="184"/>
      <c r="F21" s="184"/>
      <c r="G21" s="188"/>
    </row>
    <row r="22" spans="1:7" ht="18.75">
      <c r="A22" s="182"/>
      <c r="B22" s="182"/>
      <c r="C22" s="183"/>
      <c r="D22" s="183"/>
      <c r="E22" s="184"/>
      <c r="F22" s="184"/>
      <c r="G22" s="183"/>
    </row>
    <row r="23" spans="1:7" ht="18.75">
      <c r="A23" s="182"/>
      <c r="B23" s="182"/>
      <c r="C23" s="184"/>
      <c r="D23" s="184"/>
      <c r="E23" s="184"/>
      <c r="F23" s="184"/>
      <c r="G23" s="184"/>
    </row>
    <row r="24" spans="1:7" ht="21">
      <c r="A24" s="182"/>
      <c r="B24" s="182"/>
      <c r="C24" s="189" t="s">
        <v>306</v>
      </c>
      <c r="D24" s="183"/>
      <c r="E24" s="184"/>
      <c r="F24" s="190" t="s">
        <v>307</v>
      </c>
      <c r="G24" s="179"/>
    </row>
    <row r="25" spans="1:7" ht="18.75">
      <c r="A25" s="182"/>
      <c r="B25" s="182"/>
      <c r="C25" s="183"/>
      <c r="D25" s="184"/>
      <c r="E25" s="186" t="s">
        <v>308</v>
      </c>
      <c r="F25" s="189"/>
      <c r="G25" s="183"/>
    </row>
    <row r="26" spans="1:7" ht="18.75">
      <c r="A26" s="182"/>
      <c r="B26" s="182"/>
      <c r="C26" s="183"/>
      <c r="D26" s="184"/>
      <c r="E26" s="183"/>
      <c r="F26" s="183"/>
      <c r="G26" s="183"/>
    </row>
    <row r="27" spans="1:7" ht="18.75">
      <c r="A27" s="182"/>
      <c r="B27" s="182"/>
      <c r="C27" s="183"/>
      <c r="D27" s="184"/>
      <c r="E27" s="183"/>
      <c r="F27" s="183"/>
      <c r="G27" s="183"/>
    </row>
    <row r="28" spans="1:7" ht="18.75">
      <c r="A28" s="182"/>
      <c r="B28" s="182"/>
      <c r="C28" s="183"/>
      <c r="D28" s="184"/>
      <c r="E28" s="183"/>
      <c r="F28" s="183"/>
      <c r="G28" s="183"/>
    </row>
    <row r="29" spans="1:7" ht="18.75">
      <c r="A29" s="182"/>
      <c r="B29" s="182"/>
      <c r="C29" s="183"/>
      <c r="D29" s="184"/>
      <c r="E29" s="183" t="s">
        <v>309</v>
      </c>
      <c r="F29" s="183"/>
      <c r="G29" s="183"/>
    </row>
  </sheetData>
  <mergeCells count="18">
    <mergeCell ref="A17:B17"/>
    <mergeCell ref="D17:F17"/>
    <mergeCell ref="A8:A13"/>
    <mergeCell ref="B8:B13"/>
    <mergeCell ref="C8:C13"/>
    <mergeCell ref="D9:D12"/>
    <mergeCell ref="A14:A16"/>
    <mergeCell ref="B14:B16"/>
    <mergeCell ref="C14:C16"/>
    <mergeCell ref="A1:G1"/>
    <mergeCell ref="A2:G2"/>
    <mergeCell ref="A3:G3"/>
    <mergeCell ref="A4:G4"/>
    <mergeCell ref="A6:A7"/>
    <mergeCell ref="B6:C6"/>
    <mergeCell ref="D6:D7"/>
    <mergeCell ref="E6:G6"/>
    <mergeCell ref="E7:F7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22"/>
  <sheetViews>
    <sheetView zoomScale="85" zoomScaleNormal="85" workbookViewId="0"/>
  </sheetViews>
  <sheetFormatPr defaultRowHeight="15"/>
  <cols>
    <col min="1" max="1" width="18.7109375" customWidth="1"/>
    <col min="2" max="2" width="2.85546875" customWidth="1"/>
    <col min="3" max="3" width="15.7109375" customWidth="1"/>
    <col min="4" max="4" width="2.85546875" customWidth="1"/>
    <col min="5" max="6" width="10.28515625" style="43" bestFit="1" customWidth="1"/>
  </cols>
  <sheetData>
    <row r="1" spans="1:6" s="82" customFormat="1" ht="16.5">
      <c r="A1" s="82" t="s">
        <v>320</v>
      </c>
      <c r="E1" s="166"/>
      <c r="F1" s="166"/>
    </row>
    <row r="2" spans="1:6" s="82" customFormat="1" ht="16.5">
      <c r="A2" s="82" t="s">
        <v>50</v>
      </c>
      <c r="E2" s="166"/>
      <c r="F2" s="166"/>
    </row>
    <row r="3" spans="1:6" s="80" customFormat="1" ht="15.75">
      <c r="A3" s="80" t="s">
        <v>140</v>
      </c>
      <c r="E3" s="167"/>
      <c r="F3" s="167"/>
    </row>
    <row r="4" spans="1:6">
      <c r="A4" t="s">
        <v>220</v>
      </c>
    </row>
    <row r="7" spans="1:6">
      <c r="A7" t="s">
        <v>313</v>
      </c>
      <c r="B7" t="s">
        <v>168</v>
      </c>
      <c r="F7" s="43">
        <v>17950000</v>
      </c>
    </row>
    <row r="9" spans="1:6">
      <c r="A9" t="s">
        <v>314</v>
      </c>
    </row>
    <row r="10" spans="1:6">
      <c r="B10" t="s">
        <v>186</v>
      </c>
      <c r="D10" t="s">
        <v>168</v>
      </c>
      <c r="E10" s="43">
        <v>1170000</v>
      </c>
    </row>
    <row r="11" spans="1:6">
      <c r="B11" t="s">
        <v>71</v>
      </c>
      <c r="D11" t="s">
        <v>168</v>
      </c>
      <c r="E11" s="43">
        <v>17500000</v>
      </c>
    </row>
    <row r="12" spans="1:6">
      <c r="B12" t="s">
        <v>315</v>
      </c>
      <c r="D12" t="s">
        <v>168</v>
      </c>
      <c r="E12" s="43">
        <v>300000</v>
      </c>
    </row>
    <row r="13" spans="1:6">
      <c r="B13" t="s">
        <v>316</v>
      </c>
      <c r="D13" t="s">
        <v>168</v>
      </c>
      <c r="E13" s="43">
        <v>50000000</v>
      </c>
    </row>
    <row r="14" spans="1:6">
      <c r="A14" t="s">
        <v>317</v>
      </c>
      <c r="B14" t="s">
        <v>168</v>
      </c>
      <c r="F14" s="43">
        <f>SUM(E10:E13)</f>
        <v>68970000</v>
      </c>
    </row>
    <row r="16" spans="1:6">
      <c r="A16" t="s">
        <v>261</v>
      </c>
    </row>
    <row r="17" spans="1:6">
      <c r="B17" t="s">
        <v>318</v>
      </c>
      <c r="D17" t="s">
        <v>168</v>
      </c>
      <c r="E17" s="43">
        <v>0</v>
      </c>
    </row>
    <row r="18" spans="1:6">
      <c r="B18" t="s">
        <v>0</v>
      </c>
      <c r="D18" t="s">
        <v>168</v>
      </c>
      <c r="E18" s="43">
        <v>51000000</v>
      </c>
    </row>
    <row r="19" spans="1:6">
      <c r="B19" t="s">
        <v>316</v>
      </c>
      <c r="D19" t="s">
        <v>168</v>
      </c>
      <c r="E19" s="43">
        <v>20000</v>
      </c>
    </row>
    <row r="20" spans="1:6">
      <c r="A20" t="s">
        <v>317</v>
      </c>
      <c r="B20" t="s">
        <v>168</v>
      </c>
      <c r="F20" s="43">
        <f>SUM(E17:E20)</f>
        <v>51020000</v>
      </c>
    </row>
    <row r="22" spans="1:6">
      <c r="A22" t="s">
        <v>319</v>
      </c>
      <c r="B22" t="s">
        <v>168</v>
      </c>
      <c r="F22" s="43">
        <f>F14-F20</f>
        <v>17950000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Menu</vt:lpstr>
      <vt:lpstr>form.BuktiTransaksi!Print_Area</vt:lpstr>
      <vt:lpstr>form.surat!Print_Area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LENOVO</cp:lastModifiedBy>
  <cp:lastPrinted>2015-02-14T09:15:07Z</cp:lastPrinted>
  <dcterms:created xsi:type="dcterms:W3CDTF">2014-12-21T15:16:57Z</dcterms:created>
  <dcterms:modified xsi:type="dcterms:W3CDTF">2021-12-08T10:41:00Z</dcterms:modified>
</cp:coreProperties>
</file>